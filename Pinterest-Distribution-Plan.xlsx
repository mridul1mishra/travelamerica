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tegy" sheetId="1" state="visible" r:id="rId3"/>
    <sheet name="Messaging" sheetId="2" state="visible" r:id="rId4"/>
    <sheet name="Target Audience" sheetId="3" state="visible" r:id="rId5"/>
    <sheet name="Site Updates" sheetId="4" state="visible" r:id="rId6"/>
    <sheet name="12-Week Plan" sheetId="5" state="visible" r:id="rId7"/>
    <sheet name="Pin Formats + AI Prompts" sheetId="6" state="visible" r:id="rId8"/>
    <sheet name="Scorecard" sheetId="7" state="visible" r:id="rId9"/>
    <sheet name="Tools &amp; Budge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<sst xmlns="http://schemas.openxmlformats.org/spreadsheetml/2006/main" count="453" uniqueCount="378">
  <si>
    <t xml:space="preserve">Pinterest Distribution Strategy - travelsamericas.com</t>
  </si>
  <si>
    <t xml:space="preserve">Item</t>
  </si>
  <si>
    <t xml:space="preserve">Detail</t>
  </si>
  <si>
    <t xml:space="preserve">Why / Note</t>
  </si>
  <si>
    <t xml:space="preserve">THE FUNNEL</t>
  </si>
  <si>
    <t xml:space="preserve">Funnel</t>
  </si>
  <si>
    <t xml:space="preserve">Pin (search result) -&gt; Saved/Clicked -&gt; Landing page (guide) -&gt; Email capture (PDF lead magnet) -&gt; Drip sequence -&gt; Affiliate booking (hotel / insurance / eSIM)</t>
  </si>
  <si>
    <t xml:space="preserve">Every pin links to a page with an email capture. Email subs are the primary KPI, clicks are secondary.</t>
  </si>
  <si>
    <t xml:space="preserve">Why Pinterest</t>
  </si>
  <si>
    <t xml:space="preserve">Search-driven (no follower base needed to start), ~70% female user base, solo female travel is a top vertical, pins surface for 6-12 months vs hours on other platforms</t>
  </si>
  <si>
    <t xml:space="preserve">Direct match with your only proven niche: NYC solo/female-solo safety (90% of your Google impressions)</t>
  </si>
  <si>
    <t xml:space="preserve">Positioning</t>
  </si>
  <si>
    <t xml:space="preserve">"The solo female traveler's safety-first guide to US cities" - NOT "discover iconic cities"</t>
  </si>
  <si>
    <t xml:space="preserve">Pinterest profile bio, board names, and every pin reinforce this single positioning</t>
  </si>
  <si>
    <t xml:space="preserve">NORTH-STAR TARGETS (12 weeks)</t>
  </si>
  <si>
    <t xml:space="preserve">Pins live</t>
  </si>
  <si>
    <t xml:space="preserve">100-120 published pins</t>
  </si>
  <si>
    <t xml:space="preserve">Volume is the #1 predictor of early Pinterest traction</t>
  </si>
  <si>
    <t xml:space="preserve">Monthly impressions</t>
  </si>
  <si>
    <t xml:space="preserve">25,000-60,000 by week 12</t>
  </si>
  <si>
    <t xml:space="preserve">Wide range - new accounts vary heavily. Below 10k at week 12 = review keywords/format</t>
  </si>
  <si>
    <t xml:space="preserve">Outbound clicks</t>
  </si>
  <si>
    <t xml:space="preserve">250-500/month by week 12</t>
  </si>
  <si>
    <t xml:space="preserve">~0.8-1.2% of impressions is a realistic outbound rate</t>
  </si>
  <si>
    <t xml:space="preserve">Email subscribers</t>
  </si>
  <si>
    <t xml:space="preserve">60-150 total by week 12</t>
  </si>
  <si>
    <t xml:space="preserve">Assumes 8-15% landing-page opt-in rate with the PDF magnet</t>
  </si>
  <si>
    <t xml:space="preserve">OPERATING MODEL (automation-first, per your choice)</t>
  </si>
  <si>
    <t xml:space="preserve">Your weekly time</t>
  </si>
  <si>
    <t xml:space="preserve">~2 hrs: review scheduled queue, approve designs, check scorecard</t>
  </si>
  <si>
    <t xml:space="preserve">Production is delegated to templates + scheduler + freelancer</t>
  </si>
  <si>
    <t xml:space="preserve">Designer (Fiverr/Upwork)</t>
  </si>
  <si>
    <t xml:space="preserve">$60-150 one-time for 6 master templates, then ~$30-60/month for batch fills</t>
  </si>
  <si>
    <t xml:space="preserve">Brief is on the "Pin Formats + AI Prompts" sheet</t>
  </si>
  <si>
    <t xml:space="preserve">Scheduler</t>
  </si>
  <si>
    <t xml:space="preserve">Pinterest native scheduler (free, 30 days ahead) or Tailwind ($25/mo) if you want interval re-pinning + analytics</t>
  </si>
  <si>
    <t xml:space="preserve">Start native, upgrade only if volume sustains</t>
  </si>
  <si>
    <t xml:space="preserve">AI imagery rule</t>
  </si>
  <si>
    <t xml:space="preserve">AI for ILLUSTRATED/flat-design pins (checklists, maps, infographics) only. Use licensed stock photos for photorealistic pins.</t>
  </si>
  <si>
    <t xml:space="preserve">Pinterest labels AI-generated images and users distrust fake travel photos. Illustrated style avoids both problems.</t>
  </si>
  <si>
    <t xml:space="preserve">HARD PREREQUISITES (block everything else)</t>
  </si>
  <si>
    <t xml:space="preserve">1. Ship the NYC itinerary PDF</t>
  </si>
  <si>
    <t xml:space="preserve">Your lead magnet URL is still blank in .env. Without it the funnel has no bottom.</t>
  </si>
  <si>
    <t xml:space="preserve">Week 1, non-negotiable</t>
  </si>
  <si>
    <t xml:space="preserve">2. Join high-CPA programs</t>
  </si>
  <si>
    <t xml:space="preserve">SafetyWing / World Nomads (insurance), Airalo (eSIM) - safety audience converts on these, not flights</t>
  </si>
  <si>
    <t xml:space="preserve">Week 1</t>
  </si>
  <si>
    <t xml:space="preserve">3. Fix homepage thumbnails</t>
  </si>
  <si>
    <t xml:space="preserve">LA/Vegas/Orlando cards use images named from another project (Robobionics, Takachar, Navalboats)</t>
  </si>
  <si>
    <t xml:space="preserve">Pinterest visitors who click through must not see mismatched images</t>
  </si>
  <si>
    <t xml:space="preserve">Messaging Framework</t>
  </si>
  <si>
    <t xml:space="preserve">Element</t>
  </si>
  <si>
    <t xml:space="preserve">Content</t>
  </si>
  <si>
    <t xml:space="preserve">Rationale</t>
  </si>
  <si>
    <t xml:space="preserve">Where it points</t>
  </si>
  <si>
    <t xml:space="preserve">PILLAR 1: SAFETY CONFIDENCE (50% of pins)</t>
  </si>
  <si>
    <t xml:space="preserve">Core message</t>
  </si>
  <si>
    <t xml:space="preserve">"You can do this safely - here is exactly how"</t>
  </si>
  <si>
    <t xml:space="preserve">Practical, calm, zero fear-mongering. Confidence is the product, safety info is the vehicle.</t>
  </si>
  <si>
    <t xml:space="preserve">Checklist, neighborhood breakdown, decision-tree pins</t>
  </si>
  <si>
    <t xml:space="preserve">Example titles</t>
  </si>
  <si>
    <t xml:space="preserve">"Is NYC Safe for Solo Female Travelers? A Block-by-Block Answer" / "NYC Subway at Night: 5 Rules I Follow Every Time" / "The NYC Safety Checklist I Send Every First-Timer"</t>
  </si>
  <si>
    <t xml:space="preserve">First-person voice outperforms institutional voice on Pinterest</t>
  </si>
  <si>
    <t xml:space="preserve">Link: nyc-safety-guide, subway-safety-guide, female-solo-guide</t>
  </si>
  <si>
    <t xml:space="preserve">PILLAR 2: SOLO INDEPENDENCE (25% of pins)</t>
  </si>
  <si>
    <t xml:space="preserve">"You do not need a travel buddy to see New York"</t>
  </si>
  <si>
    <t xml:space="preserve">Emotional hook - permission + empowerment. Highest save-rate pillar.</t>
  </si>
  <si>
    <t xml:space="preserve">Itinerary and "solo-friendly spots" pins</t>
  </si>
  <si>
    <t xml:space="preserve">"Solo Trip to NYC: The 4-Day Itinerary That Actually Works Alone" / "13 Things to Do Alone in NYC (That Don't Feel Lonely)" / "Eating Alone in NYC Without the Awkwardness"</t>
  </si>
  <si>
    <t xml:space="preserve">"Alone without lonely" framing tests well in this vertical</t>
  </si>
  <si>
    <t xml:space="preserve">Link: solo-trip-to-nyc, solo-itinerary, food</t>
  </si>
  <si>
    <t xml:space="preserve">PILLAR 3: INSIDER SPECIFICITY (15% of pins)</t>
  </si>
  <si>
    <t xml:space="preserve">"Block-by-block detail no generic top-10 list gives you"</t>
  </si>
  <si>
    <t xml:space="preserve">Differentiates vs big-publisher pins; drives saves as reference material</t>
  </si>
  <si>
    <t xml:space="preserve">Map pins, neighborhood comparison pins</t>
  </si>
  <si>
    <t xml:space="preserve">"Where to Stay in NYC: Safe Neighborhoods Ranked by a Local" / "NYC Neighborhoods After Dark: Where I Walk vs Where I Ride"</t>
  </si>
  <si>
    <t xml:space="preserve">Comparison/ranking formats earn the highest outbound CTR</t>
  </si>
  <si>
    <t xml:space="preserve">Link: best-areas-to-stay, neighborhood-guide</t>
  </si>
  <si>
    <t xml:space="preserve">PILLAR 4: PLANNING &amp; PREP (10% of pins)</t>
  </si>
  <si>
    <t xml:space="preserve">"Arrive prepared, not anxious"</t>
  </si>
  <si>
    <t xml:space="preserve">Direct feeder to the PDF lead magnet</t>
  </si>
  <si>
    <t xml:space="preserve">Packing list, pre-trip setup, app list pins</t>
  </si>
  <si>
    <t xml:space="preserve">"Pre-Trip Safety Setup: 7 Things to Do Before You Land in NYC" / "Free 4-Day NYC Solo Itinerary (Printable PDF)"</t>
  </si>
  <si>
    <t xml:space="preserve">PDF pins link straight to the email capture</t>
  </si>
  <si>
    <t xml:space="preserve">Link: signup/landing page</t>
  </si>
  <si>
    <t xml:space="preserve">DESCRIPTION FORMULA (every pin)</t>
  </si>
  <si>
    <t xml:space="preserve">Structure</t>
  </si>
  <si>
    <t xml:space="preserve">[Hook restating the promise] + [2-3 sentence preview with keywords woven naturally] + [CTA] + 3-5 keyword phrases</t>
  </si>
  <si>
    <t xml:space="preserve">Pinterest reads descriptions for search ranking. 100-300 chars ideal.</t>
  </si>
  <si>
    <t xml:space="preserve">-</t>
  </si>
  <si>
    <t xml:space="preserve">Keywords to weave in</t>
  </si>
  <si>
    <t xml:space="preserve">solo travel nyc, solo female travel, nyc safety tips, nyc itinerary, where to stay in nyc, first time nyc, girls trip nyc, new york travel guide</t>
  </si>
  <si>
    <t xml:space="preserve">Use 3-5 per pin, never all - keyword stuffing suppresses distribution</t>
  </si>
  <si>
    <t xml:space="preserve">CTA bank</t>
  </si>
  <si>
    <t xml:space="preserve">"Get the free printable itinerary" / "Save this for your trip" / "Full block-by-block guide on the site" / "Grab the safety checklist PDF"</t>
  </si>
  <si>
    <t xml:space="preserve">"Save this" CTAs lift save-rate ~15-20% (saves boost future distribution)</t>
  </si>
  <si>
    <t xml:space="preserve">VOICE RULES</t>
  </si>
  <si>
    <t xml:space="preserve">Do</t>
  </si>
  <si>
    <t xml:space="preserve">First person, specific numbers ("5 rules", "4 days", "7 neighborhoods"), calm authority, US spelling</t>
  </si>
  <si>
    <t xml:space="preserve">Specificity = credibility = saves</t>
  </si>
  <si>
    <t xml:space="preserve">Do not</t>
  </si>
  <si>
    <t xml:space="preserve">Fear-bait ("DANGEROUS areas to AVOID!!"), clickbait gaps ("you won't believe #3"), generic wanderlust ("explore the magic of NYC")</t>
  </si>
  <si>
    <t xml:space="preserve">Fear-bait attracts the wrong audience and Pinterest suppresses it; generic = invisible</t>
  </si>
  <si>
    <t xml:space="preserve">Target Audience &amp; Personas</t>
  </si>
  <si>
    <t xml:space="preserve">Effort share</t>
  </si>
  <si>
    <t xml:space="preserve">What she searches on Pinterest</t>
  </si>
  <si>
    <t xml:space="preserve">What to show her</t>
  </si>
  <si>
    <t xml:space="preserve">P1 - PRIMARY: The Anxious First-Time Solo Traveler</t>
  </si>
  <si>
    <t xml:space="preserve">Who</t>
  </si>
  <si>
    <t xml:space="preserve">Woman 24-38, US-based, planning her first solo trip; researches heavily, over-prepares, screenshots everything</t>
  </si>
  <si>
    <t xml:space="preserve">~60% of effort</t>
  </si>
  <si>
    <t xml:space="preserve">"solo trip to nyc", "is nyc safe for a woman", "nyc solo itinerary", "things to do alone in nyc"</t>
  </si>
  <si>
    <t xml:space="preserve">Safety checklists, itineraries, "you can do this" empowerment pins</t>
  </si>
  <si>
    <t xml:space="preserve">Pain point</t>
  </si>
  <si>
    <t xml:space="preserve">Wants the trip but fear of being unsafe/alone is the blocker. Friends/family amplify the fear.</t>
  </si>
  <si>
    <t xml:space="preserve">Confidence framing - your entire safety content maps to her</t>
  </si>
  <si>
    <t xml:space="preserve">Conversion path</t>
  </si>
  <si>
    <t xml:space="preserve">Saves 5-10 pins while dreaming -&gt; clicks itinerary pin when trip becomes real -&gt; downloads PDF -&gt; drip converts to hotel/insurance booking</t>
  </si>
  <si>
    <t xml:space="preserve">She is the email list</t>
  </si>
  <si>
    <t xml:space="preserve">P2 - SECONDARY: International First-US-Trip Planner</t>
  </si>
  <si>
    <t xml:space="preserve">Woman 25-45 from UK/AU/CA/DE planning first US trip; NYC is the anchor city; longer lead time (3-6 months)</t>
  </si>
  <si>
    <t xml:space="preserve">~25% of effort</t>
  </si>
  <si>
    <t xml:space="preserve">"new york first time guide", "nyc tips for tourists", "new york travel guide", "usa trip planning"</t>
  </si>
  <si>
    <t xml:space="preserve">Subway/transit explainers, scam-avoidance, neighborhood guides</t>
  </si>
  <si>
    <t xml:space="preserve">Why she matters</t>
  </si>
  <si>
    <t xml:space="preserve">Your GSC already shows Japan/Vietnam/UK/Mexico impressions; international visitors book MORE (insurance, eSIM, transfers = your highest-CPA offers)</t>
  </si>
  <si>
    <t xml:space="preserve">eSIM + insurance pins target her explicitly</t>
  </si>
  <si>
    <t xml:space="preserve">P3 - TERTIARY: The Girls-Trip Organizer</t>
  </si>
  <si>
    <t xml:space="preserve">Woman 25-40 planning a group trip; one organizer researches for 4-6 travelers</t>
  </si>
  <si>
    <t xml:space="preserve">~15% of effort</t>
  </si>
  <si>
    <t xml:space="preserve">"girls trip nyc", "nyc bachelorette", "group itinerary new york"</t>
  </si>
  <si>
    <t xml:space="preserve">Group itinerary and dining pins (you already have group-travel pages)</t>
  </si>
  <si>
    <t xml:space="preserve">One click = multiple bookings. Highest revenue-per-visitor persona.</t>
  </si>
  <si>
    <t xml:space="preserve">Do not build new content for her yet - pin existing group pages only</t>
  </si>
  <si>
    <t xml:space="preserve">EXPLICITLY NOT TARGETING</t>
  </si>
  <si>
    <t xml:space="preserve">Who to ignore</t>
  </si>
  <si>
    <t xml:space="preserve">Budget backpackers (no booking budget), luxury travelers (wrong brand), male solo travelers (different search behavior), locals</t>
  </si>
  <si>
    <t xml:space="preserve">Zero effort</t>
  </si>
  <si>
    <t xml:space="preserve">Niche discipline is the whole strategy - generic = invisible</t>
  </si>
  <si>
    <t xml:space="preserve">Website Updates (Text / Imagery / Tracking)</t>
  </si>
  <si>
    <t xml:space="preserve">#</t>
  </si>
  <si>
    <t xml:space="preserve">Update</t>
  </si>
  <si>
    <t xml:space="preserve">Why</t>
  </si>
  <si>
    <t xml:space="preserve">How</t>
  </si>
  <si>
    <t xml:space="preserve">When</t>
  </si>
  <si>
    <t xml:space="preserve">BLOCKERS - DO BEFORE FIRST PIN</t>
  </si>
  <si>
    <t xml:space="preserve">1</t>
  </si>
  <si>
    <t xml:space="preserve">Ship the NYC itinerary PDF lead magnet</t>
  </si>
  <si>
    <t xml:space="preserve">NYC_ITINERARY_PDF_URL is blank - the welcome email sends a placeholder. The entire pin-&gt;email funnel dead-ends without it.</t>
  </si>
  <si>
    <t xml:space="preserve">Export your existing solo-itinerary page content into a designed 8-12 page PDF</t>
  </si>
  <si>
    <t xml:space="preserve">2</t>
  </si>
  <si>
    <t xml:space="preserve">Add email capture above the fold on top 5 landing pages</t>
  </si>
  <si>
    <t xml:space="preserve">Pages pins link to (safety guide, solo trip, female solo, best areas, itinerary) must capture emails on first screen, not just footer</t>
  </si>
  <si>
    <t xml:space="preserve">Inline form: "Get the free 4-day solo NYC itinerary (PDF)" + first-name/email</t>
  </si>
  <si>
    <t xml:space="preserve">Week 1-2</t>
  </si>
  <si>
    <t xml:space="preserve">3</t>
  </si>
  <si>
    <t xml:space="preserve">Fix homepage thumbnails</t>
  </si>
  <si>
    <t xml:space="preserve">LA/Vegas/Orlando cards use wrong-project images (RobobionicsWebThumbnail, NavalboatsStory, TakacharStory filenames)</t>
  </si>
  <si>
    <t xml:space="preserve">Replace with licensed city photos</t>
  </si>
  <si>
    <t xml:space="preserve">IMAGERY - PINTEREST REQUIREMENTS</t>
  </si>
  <si>
    <t xml:space="preserve">4</t>
  </si>
  <si>
    <t xml:space="preserve">Add one 1000x1500px (2:3) vertical "pinnable" image to every top page</t>
  </si>
  <si>
    <t xml:space="preserve">Pinterest needs vertical images; your pages currently only have horizontal banners and 1200x630 OG images. When users hit Save on your site, a vertical asset must exist.</t>
  </si>
  <si>
    <t xml:space="preserve">Use your pin templates - same design system. Add descriptive alt text (Pinterest reads it for ranking)</t>
  </si>
  <si>
    <t xml:space="preserve">Week 2-3</t>
  </si>
  <si>
    <t xml:space="preserve">5</t>
  </si>
  <si>
    <t xml:space="preserve">Add Pinterest Save button to article images</t>
  </si>
  <si>
    <t xml:space="preserve">One-line script; turns every site visitor into a potential distributor</t>
  </si>
  <si>
    <t xml:space="preserve">data-pin-description preset with keyword-rich text</t>
  </si>
  <si>
    <t xml:space="preserve">Week 2</t>
  </si>
  <si>
    <t xml:space="preserve">6</t>
  </si>
  <si>
    <t xml:space="preserve">Validate Rich Pins</t>
  </si>
  <si>
    <t xml:space="preserve">Your og:type=article metadata is already in place - run the Rich Pin validator so pins auto-pull title/description</t>
  </si>
  <si>
    <t xml:space="preserve">developers.pinterest.com validator, one-time</t>
  </si>
  <si>
    <t xml:space="preserve">TEXT - LANDING PAGE ALIGNMENT</t>
  </si>
  <si>
    <t xml:space="preserve">7</t>
  </si>
  <si>
    <t xml:space="preserve">Match landing H1 to pin promise</t>
  </si>
  <si>
    <t xml:space="preserve">If pin says "Block-by-Block Safety Breakdown", the page user lands on must visibly deliver that within one scroll - bounce kills Pinterest distribution</t>
  </si>
  <si>
    <t xml:space="preserve">Audit top 5 pages against the pin titles on Messaging sheet</t>
  </si>
  <si>
    <t xml:space="preserve">Week 3</t>
  </si>
  <si>
    <t xml:space="preserve">8</t>
  </si>
  <si>
    <t xml:space="preserve">Add "pin-magnet" mid-article CTAs</t>
  </si>
  <si>
    <t xml:space="preserve">"Save this guide to Pinterest for your trip" near the checklist sections</t>
  </si>
  <si>
    <t xml:space="preserve">Text + save button</t>
  </si>
  <si>
    <t xml:space="preserve">9</t>
  </si>
  <si>
    <t xml:space="preserve">Update profile-facing pages</t>
  </si>
  <si>
    <t xml:space="preserve">About page needs a named author/founder with photo - Pinterest users check profiles before following; anonymity suppresses trust</t>
  </si>
  <si>
    <t xml:space="preserve">Short founder bio: why you built a safety-first guide</t>
  </si>
  <si>
    <t xml:space="preserve">TRACKING</t>
  </si>
  <si>
    <t xml:space="preserve">10</t>
  </si>
  <si>
    <t xml:space="preserve">UTM scheme on every pin URL</t>
  </si>
  <si>
    <t xml:space="preserve">utm_source=pinterest&amp;utm_medium=organic&amp;utm_campaign=[pillar]&amp;utm_content=[pin-id]</t>
  </si>
  <si>
    <t xml:space="preserve">Without this you cannot attribute email subs to pins in GA4</t>
  </si>
  <si>
    <t xml:space="preserve">11</t>
  </si>
  <si>
    <t xml:space="preserve">GA4 conversion event for email signup</t>
  </si>
  <si>
    <t xml:space="preserve">Mark signup as key event; build Pinterest channel report</t>
  </si>
  <si>
    <t xml:space="preserve">Closes the loop: pin -&gt; visit -&gt; sub</t>
  </si>
  <si>
    <t xml:space="preserve">12</t>
  </si>
  <si>
    <t xml:space="preserve">Pinterest tag (base + signup event)</t>
  </si>
  <si>
    <t xml:space="preserve">Even for organic, the tag feeds Pinterest audience insights; required if you ever test ads</t>
  </si>
  <si>
    <t xml:space="preserve">Add to layout.tsx alongside gtag</t>
  </si>
  <si>
    <t xml:space="preserve">Week 4</t>
  </si>
  <si>
    <t xml:space="preserve">12-Week Execution Plan</t>
  </si>
  <si>
    <t xml:space="preserve">Cadence after setup: your involvement ~2 hrs/week (copy approval + scorecard). Designer fills templates. Scheduler posts daily. Volume target: 10-15 pins/week from week 3.</t>
  </si>
  <si>
    <t xml:space="preserve">Wk</t>
  </si>
  <si>
    <t xml:space="preserve">Theme</t>
  </si>
  <si>
    <t xml:space="preserve">Deliverables</t>
  </si>
  <si>
    <t xml:space="preserve">Owner / hours</t>
  </si>
  <si>
    <t xml:space="preserve">Done = </t>
  </si>
  <si>
    <t xml:space="preserve">Quality bar / notes</t>
  </si>
  <si>
    <t xml:space="preserve">PHASE 1: FOUNDATION (Weeks 1-2)</t>
  </si>
  <si>
    <t xml:space="preserve">Account + funnel foundation</t>
  </si>
  <si>
    <t xml:space="preserve">Create Pinterest Business account; claim travelsamericas.com; validate Rich Pins. Ship NYC PDF lead magnet + wire welcome email. Apply: SafetyWing, Airalo affiliate programs. Set UTM scheme. Fix homepage thumbnails.</t>
  </si>
  <si>
    <t xml:space="preserve">You (one-time setup ~4 hrs this week only)</t>
  </si>
  <si>
    <t xml:space="preserve">Account live, domain claimed, PDF downloadable end-to-end</t>
  </si>
  <si>
    <t xml:space="preserve">Test: pin URL -&gt; page -&gt; signup -&gt; email lands with working PDF link</t>
  </si>
  <si>
    <t xml:space="preserve">Boards + design system</t>
  </si>
  <si>
    <t xml:space="preserve">Create 8 boards (see Pin Formats sheet for names/keywords). Hire Fiverr designer with the brief OR build 6 Canva master templates yourself. Generate AI background batch (10 illustrated images). Add email capture to top 5 pages.</t>
  </si>
  <si>
    <t xml:space="preserve">You 2 hrs + designer ($60-150)</t>
  </si>
  <si>
    <t xml:space="preserve">8 keyword-named boards; 6 approved master templates</t>
  </si>
  <si>
    <t xml:space="preserve">Templates must pass the squint test: title readable at thumbnail size on mobile</t>
  </si>
  <si>
    <t xml:space="preserve">PHASE 2: PRODUCTION RAMP (Weeks 3-5)</t>
  </si>
  <si>
    <t xml:space="preserve">First batch - 12 pins</t>
  </si>
  <si>
    <t xml:space="preserve">Produce 12 pins from existing NYC pages (4 safety, 3 solo-itinerary, 3 where-to-stay, 2 PDF lead-magnet pins). Write titles/descriptions from Messaging sheet. Schedule 2/day via native scheduler. Add Save buttons + vertical images to top 5 pages.</t>
  </si>
  <si>
    <t xml:space="preserve">Designer fills templates; you write copy 1.5 hrs + approve</t>
  </si>
  <si>
    <t xml:space="preserve">12 pins scheduled; save buttons live</t>
  </si>
  <si>
    <t xml:space="preserve">Each pin: unique title, 3-5 keywords in description, UTM link</t>
  </si>
  <si>
    <t xml:space="preserve">Batch 2 - 12 pins + baseline</t>
  </si>
  <si>
    <t xml:space="preserve">12 new pins (rotate pillars per Messaging mix). Record baseline in Scorecard. GA4 signup event live.</t>
  </si>
  <si>
    <t xml:space="preserve">Designer + you 2 hrs</t>
  </si>
  <si>
    <t xml:space="preserve">24 pins live; Scorecard week-4 row filled</t>
  </si>
  <si>
    <t xml:space="preserve">Impressions will be low (&lt;2k) - normal, do not react</t>
  </si>
  <si>
    <t xml:space="preserve">Batch 3 - 15 pins, multi-format</t>
  </si>
  <si>
    <t xml:space="preserve">15 pins: introduce 2 new formats (map pin, stat/myth pin). Re-pin top performers to second relevant board (48h apart).</t>
  </si>
  <si>
    <t xml:space="preserve">39 pins live; all 6 formats tested</t>
  </si>
  <si>
    <t xml:space="preserve">PHASE 3: RHYTHM + FIRST CUTS (Weeks 6-8)</t>
  </si>
  <si>
    <t xml:space="preserve">Review gate #1</t>
  </si>
  <si>
    <t xml:space="preserve">Scorecard review: rank all pins by saves + outbound clicks. KILL the worst format. Double production on best 2 formats. 12 pins.</t>
  </si>
  <si>
    <t xml:space="preserve">You 2.5 hrs</t>
  </si>
  <si>
    <t xml:space="preserve">Format decision documented in Scorecard notes</t>
  </si>
  <si>
    <t xml:space="preserve">Kill criteria: bottom format by saves/impression after 3+ weeks live</t>
  </si>
  <si>
    <t xml:space="preserve">Batch + group boards</t>
  </si>
  <si>
    <t xml:space="preserve">12 pins. Apply to 3-5 active group boards / Tailwind communities in solo female travel niche. Engagement: follow/save 10 adjacent creators' pins weekly (feeds the algorithm your niche).</t>
  </si>
  <si>
    <t xml:space="preserve">You 2 hrs + designer</t>
  </si>
  <si>
    <t xml:space="preserve">51+ pins; 2+ group board acceptances</t>
  </si>
  <si>
    <t xml:space="preserve">Group boards must show recent activity - dead boards hurt</t>
  </si>
  <si>
    <t xml:space="preserve">Batch + seasonal start</t>
  </si>
  <si>
    <t xml:space="preserve">12 pins incl. 3 seasonal ("NYC in Fall solo", "Holiday NYC safety") - Pinterest search shifts seasonal 45-60 days ahead. First idea-pin/video test (15-sec checklist animation from template).</t>
  </si>
  <si>
    <t xml:space="preserve">75 pins; 1 video pin live</t>
  </si>
  <si>
    <t xml:space="preserve">PHASE 4: OPTIMIZE + DECIDE (Weeks 9-12)</t>
  </si>
  <si>
    <t xml:space="preserve">Double down</t>
  </si>
  <si>
    <t xml:space="preserve">15 pins: re-skin top 10 performers with new titles/imagery (same URL is fine if pin image differs). 3 more video pins if week-8 test got distribution.</t>
  </si>
  <si>
    <t xml:space="preserve">90 pins</t>
  </si>
  <si>
    <t xml:space="preserve">Re-skinning winners outperforms new guesses ~2:1</t>
  </si>
  <si>
    <t xml:space="preserve">Landing optimization</t>
  </si>
  <si>
    <t xml:space="preserve">12 pins. A/B the email capture: test "PDF itinerary" vs "safety checklist" magnet on top landing page. Check GA4: pin -&gt; sub conversion by pillar.</t>
  </si>
  <si>
    <t xml:space="preserve">You 3 hrs</t>
  </si>
  <si>
    <t xml:space="preserve">Opt-in rate benchmark documented (target 8%+)</t>
  </si>
  <si>
    <t xml:space="preserve">If opt-in &lt;5%, the magnet or form placement is the problem - not Pinterest</t>
  </si>
  <si>
    <t xml:space="preserve">Batch + outreach prep</t>
  </si>
  <si>
    <t xml:space="preserve">12 pins. Export list of group boards/communities that accepted you -&gt; these are also partnership leads for the B2B track.</t>
  </si>
  <si>
    <t xml:space="preserve">You 2 hrs</t>
  </si>
  <si>
    <t xml:space="preserve">114 pins</t>
  </si>
  <si>
    <t xml:space="preserve">Review gate #2 - go/no-go</t>
  </si>
  <si>
    <t xml:space="preserve">Full funnel review vs targets (Strategy sheet): impressions, clicks, subs. Decide: scale (add designer hours), hold (maintain 10/wk), or fix (diagnose weakest funnel stage). Write next-12-week plan.</t>
  </si>
  <si>
    <t xml:space="preserve">Decision documented + next-quarter plan</t>
  </si>
  <si>
    <t xml:space="preserve">GO = 25k+ monthly impressions OR 50+ subs. NO-GO = &lt;10k impressions AND &lt;20 subs -&gt; diagnose before more volume</t>
  </si>
  <si>
    <t xml:space="preserve">Pin Formats, Boards &amp; AI Image Prompts</t>
  </si>
  <si>
    <t xml:space="preserve">Specification</t>
  </si>
  <si>
    <t xml:space="preserve">Imagery source / AI prompt</t>
  </si>
  <si>
    <t xml:space="preserve">BOARD ARCHITECTURE (create week 2)</t>
  </si>
  <si>
    <t xml:space="preserve">Boards</t>
  </si>
  <si>
    <t xml:space="preserve">1) NYC Solo Female Travel  2) NYC Safety Tips  3) NYC Itineraries  4) Where to Stay in NYC  5) NYC Subway + Getting Around  6) Solo Travel Tips for Women  7) NYC Food for Solo Travelers  8) Girls Trip NYC</t>
  </si>
  <si>
    <t xml:space="preserve">Board names ARE keywords - never cute names ("Big Apple Dreams" = invisible)</t>
  </si>
  <si>
    <t xml:space="preserve">Each board: 200-char keyword description + branded cover</t>
  </si>
  <si>
    <t xml:space="preserve">FORMAT 1: CHECKLIST PIN (workhorse - 30%)</t>
  </si>
  <si>
    <t xml:space="preserve">Spec</t>
  </si>
  <si>
    <t xml:space="preserve">1000x1500. Bold title top 1/3, 5-7 checklist items with checkmarks, brand bar + URL bottom. Illustrated background, 60%+ white/light space.</t>
  </si>
  <si>
    <t xml:space="preserve">Highest save-rate format in travel-safety niche</t>
  </si>
  <si>
    <t xml:space="preserve">AI PROMPT: "Flat design illustration, minimalist NYC skyline silhouette at dusk, soft coral and navy palette, large empty space in upper two-thirds for text overlay, vector style, clean, no people, no text" (Ideogram/Canva AI; add text in Canva, never via AI)</t>
  </si>
  <si>
    <t xml:space="preserve">FORMAT 2: NEIGHBORHOOD MAP PIN (15%)</t>
  </si>
  <si>
    <t xml:space="preserve">1000x1500. Stylized illustrated Manhattan/Brooklyn map, 4-6 labeled zones color-coded by "relaxed / aware / ride-dont-walk", legend bottom.</t>
  </si>
  <si>
    <t xml:space="preserve">Maps are save magnets - reference material users return to</t>
  </si>
  <si>
    <t xml:space="preserve">AI PROMPT: "Stylized illustrated tourist map of Manhattan, flat vector style, soft pastel color zones, landmarks as simple icons, clean white background, no text labels" (add labels in Canva for accuracy - AI text is unreliable)</t>
  </si>
  <si>
    <t xml:space="preserve">FORMAT 3: LISTICLE PIN (25%)</t>
  </si>
  <si>
    <t xml:space="preserve">1000x1500. Number-led title ("7 NYC Neighborhoods Safe at Night"), numbered list teaser showing 3 of 7 items + "see all -&gt;", drives click-through.</t>
  </si>
  <si>
    <t xml:space="preserve">Showing partial list = click motivation without clickbait</t>
  </si>
  <si>
    <t xml:space="preserve">Background: licensed stock photo (Unsplash/Pexels commercial-ok) with 65% dark overlay. NOT AI - photoreal AI cityscapes get flagged + distrusted</t>
  </si>
  <si>
    <t xml:space="preserve">FORMAT 4: ITINERARY/DAY-PLANNER PIN (15%)</t>
  </si>
  <si>
    <t xml:space="preserve">1000x1500. "4 Days in NYC Solo" - vertical timeline Day 1-4 with one line each, PDF CTA at bottom.</t>
  </si>
  <si>
    <t xml:space="preserve">Direct feeder to email capture</t>
  </si>
  <si>
    <t xml:space="preserve">Mix: illustrated AI background (Format 1 prompt, daytime palette) + Canva timeline elements</t>
  </si>
  <si>
    <t xml:space="preserve">FORMAT 5: STAT/MYTH PIN (10%)</t>
  </si>
  <si>
    <t xml:space="preserve">1000x1500. Big claim top ("NYC is safer than 90% of large US cities"), 2-line context, source line, brand bar.</t>
  </si>
  <si>
    <t xml:space="preserve">Shareable, builds authority, feeds AI-assistant citations too</t>
  </si>
  <si>
    <t xml:space="preserve">Solid brand-color background + typography only. No imagery needed - fastest to produce</t>
  </si>
  <si>
    <t xml:space="preserve">FORMAT 6: VIDEO/IDEA PIN (5% - test wk 8)</t>
  </si>
  <si>
    <t xml:space="preserve">9:16, 10-20 sec. Animated checklist reveal or 5-tip countdown with text motion, no voiceover needed, trending audio optional.</t>
  </si>
  <si>
    <t xml:space="preserve">Pinterest pushes video distribution; cheap test via Canva animate</t>
  </si>
  <si>
    <t xml:space="preserve">Reuse Format 1 design, animate elements in Canva. One per week max until data proves it</t>
  </si>
  <si>
    <t xml:space="preserve">PRODUCTION RULES</t>
  </si>
  <si>
    <t xml:space="preserve">Text overlay</t>
  </si>
  <si>
    <t xml:space="preserve">Max 12 words on image. Title font 60-80pt equivalent - readable at 236px thumbnail. Brand: same 2 fonts + 3 colors every pin.</t>
  </si>
  <si>
    <t xml:space="preserve">Consistency = brand recognition in feed</t>
  </si>
  <si>
    <t xml:space="preserve">AI imagery guardrails</t>
  </si>
  <si>
    <t xml:space="preserve">Illustrated/flat/vector styles ONLY. Never photoreal AI of NYC (users spot it, Pinterest labels it, trust dies). Never AI-generated text inside images.</t>
  </si>
  <si>
    <t xml:space="preserve">Your niche sells TRUST - one fake-looking image undermines the safety brand</t>
  </si>
  <si>
    <t xml:space="preserve">Freelancer brief</t>
  </si>
  <si>
    <t xml:space="preserve">Hand designer: this sheet + Messaging sheet + brand colors/fonts + 6 master templates request. Batch order: 12-15 fills/week, $2-5/pin typical.</t>
  </si>
  <si>
    <t xml:space="preserve">Weekly Scorecard - fill every Monday from Pinterest Analytics + GA4</t>
  </si>
  <si>
    <t xml:space="preserve">Yellow cells = your weekly inputs. CTR/cumulative columns calculate automatically.</t>
  </si>
  <si>
    <t xml:space="preserve">Week</t>
  </si>
  <si>
    <t xml:space="preserve">Pins published</t>
  </si>
  <si>
    <t xml:space="preserve">Cumulative pins</t>
  </si>
  <si>
    <t xml:space="preserve">Impressions</t>
  </si>
  <si>
    <t xml:space="preserve">Saves</t>
  </si>
  <si>
    <t xml:space="preserve">Outbound CTR</t>
  </si>
  <si>
    <t xml:space="preserve">Email subs (GA4: pinterest source)</t>
  </si>
  <si>
    <t xml:space="preserve">Cumulative subs</t>
  </si>
  <si>
    <t xml:space="preserve">Save rate</t>
  </si>
  <si>
    <t xml:space="preserve">Notes / decisions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</si>
  <si>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</si>
  <si>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</si>
  <si>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</si>
  <si>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</si>
  <si>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</si>
  <si>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</si>
  <si>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</si>
  <si>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</si>
  <si>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TOTAL</t>
  </si>
  <si>
    <t xml:space="preserve">Benchmarks / decision rules</t>
  </si>
  <si>
    <t xml:space="preserve">Outbound CTR healthy</t>
  </si>
  <si>
    <t xml:space="preserve">0.8% - 1.5% (below 0.5% = weak titles or wrong keywords)</t>
  </si>
  <si>
    <t xml:space="preserve">Save rate healthy</t>
  </si>
  <si>
    <t xml:space="preserve">0.5% - 1.0% of impressions (saves predict future distribution)</t>
  </si>
  <si>
    <t xml:space="preserve">Week 6 gate</t>
  </si>
  <si>
    <t xml:space="preserve">Kill weakest pin format; double best 2</t>
  </si>
  <si>
    <t xml:space="preserve">Week 12 GO</t>
  </si>
  <si>
    <t xml:space="preserve">25k+ monthly impressions OR 50+ total subs</t>
  </si>
  <si>
    <t xml:space="preserve">Week 12 NO-GO</t>
  </si>
  <si>
    <t xml:space="preserve">&lt;10k impressions AND &lt;20 subs -&gt; diagnose funnel stage before adding volume</t>
  </si>
  <si>
    <t xml:space="preserve">Tool Stack &amp; Budget (automation-first)</t>
  </si>
  <si>
    <t xml:space="preserve">Tool</t>
  </si>
  <si>
    <t xml:space="preserve">Cost</t>
  </si>
  <si>
    <t xml:space="preserve">What it does for you</t>
  </si>
  <si>
    <t xml:space="preserve">Verdict</t>
  </si>
  <si>
    <t xml:space="preserve">Pinterest Business account</t>
  </si>
  <si>
    <t xml:space="preserve">Free</t>
  </si>
  <si>
    <t xml:space="preserve">Analytics, Rich Pins, native scheduler (30 days ahead, 100 pins)</t>
  </si>
  <si>
    <t xml:space="preserve">Required</t>
  </si>
  <si>
    <t xml:space="preserve">Canva Pro</t>
  </si>
  <si>
    <t xml:space="preserve">$13/mo</t>
  </si>
  <si>
    <t xml:space="preserve">Master templates, brand kit, bulk create (CSV -&gt; 50 pins at once), animation for video pins, AI image gen included</t>
  </si>
  <si>
    <t xml:space="preserve">Yes - the automation backbone</t>
  </si>
  <si>
    <t xml:space="preserve">Fiverr/Upwork designer</t>
  </si>
  <si>
    <t xml:space="preserve">$60-150 setup, then $30-60/mo</t>
  </si>
  <si>
    <t xml:space="preserve">6 master templates, then weekly batch fills (12-15 pins) from your copy doc</t>
  </si>
  <si>
    <t xml:space="preserve">Yes per your outsource preference - OR skip and use Canva bulk-create yourself</t>
  </si>
  <si>
    <t xml:space="preserve">Ideogram (AI imagery)</t>
  </si>
  <si>
    <t xml:space="preserve">Free tier / $8/mo</t>
  </si>
  <si>
    <t xml:space="preserve">Best for illustrated backgrounds; better text-space composition than Midjourney for pins</t>
  </si>
  <si>
    <t xml:space="preserve">Optional - Canva AI may suffice</t>
  </si>
  <si>
    <t xml:space="preserve">Tailwind</t>
  </si>
  <si>
    <t xml:space="preserve">$25/mo</t>
  </si>
  <si>
    <t xml:space="preserve">Interval re-pinning, communities (group-board successor), best-time scheduling, deeper analytics</t>
  </si>
  <si>
    <t xml:space="preserve">Week 7+, only if volume sustains</t>
  </si>
  <si>
    <t xml:space="preserve">Defer - native scheduler first</t>
  </si>
  <si>
    <t xml:space="preserve">Pinterest Tag</t>
  </si>
  <si>
    <t xml:space="preserve">Site event tracking, audience insights, prerequisite for any future ad test</t>
  </si>
  <si>
    <t xml:space="preserve">Yes</t>
  </si>
  <si>
    <t xml:space="preserve">Pin inspector / Pin Stats</t>
  </si>
  <si>
    <t xml:space="preserve">Free (built-in analytics)</t>
  </si>
  <si>
    <t xml:space="preserve">Per-pin saves/clicks for week-6 and week-12 review gates</t>
  </si>
  <si>
    <t xml:space="preserve">Use built-in first</t>
  </si>
  <si>
    <t xml:space="preserve">TOTAL monthly run-rate</t>
  </si>
  <si>
    <t xml:space="preserve">~$45-100/mo</t>
  </si>
  <si>
    <t xml:space="preserve">Canva + designer batches + optional Ideogram</t>
  </si>
  <si>
    <t xml:space="preserve">At 50-60 pins/month = $1-2 per pin all-in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</si>
</sst>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CE9ED"/>
        <bgColor rgb="FFF4F8FA"/>
      </patternFill>
    </fill>
    <fill>
      <patternFill patternType="solid">
        <fgColor rgb="FFF4F8FA"/>
        <bgColor rgb="FFFFFFFF"/>
      </patternFill>
    </fill>
    <fill>
      <patternFill patternType="solid">
        <fgColor rgb="FFFFF2CC"/>
        <bgColor rgb="FFF4F8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D1"/>
      </left>
      <right style="thin">
        <color rgb="FFB7C9D1"/>
      </right>
      <top style="thin">
        <color rgb="FFB7C9D1"/>
      </top>
      <bottom style="thin">
        <color rgb="FFB7C9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1"/>
      <rgbColor rgb="FF808080"/>
      <rgbColor rgb="FF9999FF"/>
      <rgbColor rgb="FF993366"/>
      <rgbColor rgb="FFFFF2CC"/>
      <rgbColor rgb="FFDCE9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3"/>
      <c r="C3" s="3"/>
    </row>
    <row r="4" customFormat="false" ht="23.85" hidden="false" customHeight="false" outlineLevel="0" collapsed="false">
      <c r="A4" s="4" t="s">
        <v>5</v>
      </c>
      <c r="B4" s="4" t="s">
        <v>6</v>
      </c>
      <c r="C4" s="4" t="s">
        <v>7</v>
      </c>
    </row>
    <row r="5" customFormat="false" ht="23.85" hidden="false" customHeight="false" outlineLevel="0" collapsed="false">
      <c r="A5" s="5" t="s">
        <v>8</v>
      </c>
      <c r="B5" s="5" t="s">
        <v>9</v>
      </c>
      <c r="C5" s="5" t="s">
        <v>10</v>
      </c>
    </row>
    <row r="6" customFormat="false" ht="23.85" hidden="false" customHeight="false" outlineLevel="0" collapsed="false">
      <c r="A6" s="4" t="s">
        <v>11</v>
      </c>
      <c r="B6" s="4" t="s">
        <v>12</v>
      </c>
      <c r="C6" s="4" t="s">
        <v>13</v>
      </c>
    </row>
    <row r="7" customFormat="false" ht="23.85" hidden="false" customHeight="false" outlineLevel="0" collapsed="false">
      <c r="A7" s="3" t="s">
        <v>14</v>
      </c>
      <c r="B7" s="3"/>
      <c r="C7" s="3"/>
    </row>
    <row r="8" customFormat="false" ht="15" hidden="false" customHeight="false" outlineLevel="0" collapsed="false">
      <c r="A8" s="4" t="s">
        <v>15</v>
      </c>
      <c r="B8" s="4" t="s">
        <v>16</v>
      </c>
      <c r="C8" s="4" t="s">
        <v>17</v>
      </c>
    </row>
    <row r="9" customFormat="false" ht="23.85" hidden="false" customHeight="false" outlineLevel="0" collapsed="false">
      <c r="A9" s="5" t="s">
        <v>18</v>
      </c>
      <c r="B9" s="5" t="s">
        <v>19</v>
      </c>
      <c r="C9" s="5" t="s">
        <v>20</v>
      </c>
    </row>
    <row r="10" customFormat="false" ht="15" hidden="false" customHeight="false" outlineLevel="0" collapsed="false">
      <c r="A10" s="4" t="s">
        <v>21</v>
      </c>
      <c r="B10" s="4" t="s">
        <v>22</v>
      </c>
      <c r="C10" s="4" t="s">
        <v>23</v>
      </c>
    </row>
    <row r="11" customFormat="false" ht="15" hidden="false" customHeight="false" outlineLevel="0" collapsed="false">
      <c r="A11" s="5" t="s">
        <v>24</v>
      </c>
      <c r="B11" s="5" t="s">
        <v>25</v>
      </c>
      <c r="C11" s="5" t="s">
        <v>26</v>
      </c>
    </row>
    <row r="12" customFormat="false" ht="35.05" hidden="false" customHeight="false" outlineLevel="0" collapsed="false">
      <c r="A12" s="3" t="s">
        <v>27</v>
      </c>
      <c r="B12" s="3"/>
      <c r="C12" s="3"/>
    </row>
    <row r="13" customFormat="false" ht="15" hidden="false" customHeight="false" outlineLevel="0" collapsed="false">
      <c r="A13" s="5" t="s">
        <v>28</v>
      </c>
      <c r="B13" s="5" t="s">
        <v>29</v>
      </c>
      <c r="C13" s="5" t="s">
        <v>30</v>
      </c>
    </row>
    <row r="14" customFormat="false" ht="15" hidden="false" customHeight="false" outlineLevel="0" collapsed="false">
      <c r="A14" s="4" t="s">
        <v>31</v>
      </c>
      <c r="B14" s="4" t="s">
        <v>32</v>
      </c>
      <c r="C14" s="4" t="s">
        <v>33</v>
      </c>
    </row>
    <row r="15" customFormat="false" ht="23.85" hidden="false" customHeight="false" outlineLevel="0" collapsed="false">
      <c r="A15" s="5" t="s">
        <v>34</v>
      </c>
      <c r="B15" s="5" t="s">
        <v>35</v>
      </c>
      <c r="C15" s="5" t="s">
        <v>36</v>
      </c>
    </row>
    <row r="16" customFormat="false" ht="23.85" hidden="false" customHeight="false" outlineLevel="0" collapsed="false">
      <c r="A16" s="4" t="s">
        <v>37</v>
      </c>
      <c r="B16" s="4" t="s">
        <v>38</v>
      </c>
      <c r="C16" s="4" t="s">
        <v>39</v>
      </c>
    </row>
    <row r="17" customFormat="false" ht="23.85" hidden="false" customHeight="false" outlineLevel="0" collapsed="false">
      <c r="A17" s="3" t="s">
        <v>40</v>
      </c>
      <c r="B17" s="3"/>
      <c r="C17" s="3"/>
    </row>
    <row r="18" customFormat="false" ht="15" hidden="false" customHeight="false" outlineLevel="0" collapsed="false">
      <c r="A18" s="4" t="s">
        <v>41</v>
      </c>
      <c r="B18" s="4" t="s">
        <v>42</v>
      </c>
      <c r="C18" s="4" t="s">
        <v>43</v>
      </c>
    </row>
    <row r="19" customFormat="false" ht="23.85" hidden="false" customHeight="false" outlineLevel="0" collapsed="false">
      <c r="A19" s="5" t="s">
        <v>44</v>
      </c>
      <c r="B19" s="5" t="s">
        <v>45</v>
      </c>
      <c r="C19" s="5" t="s">
        <v>46</v>
      </c>
    </row>
    <row r="20" customFormat="false" ht="23.85" hidden="false" customHeight="false" outlineLevel="0" collapsed="false">
      <c r="A20" s="4" t="s">
        <v>47</v>
      </c>
      <c r="B20" s="4" t="s">
        <v>48</v>
      </c>
      <c r="C20" s="4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2"/>
    <col collapsed="false" customWidth="true" hidden="false" outlineLevel="0" max="3" min="3" style="0" width="46"/>
    <col collapsed="false" customWidth="true" hidden="false" outlineLevel="0" max="4" min="4" style="0" width="38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  <c r="B2" s="2" t="s">
        <v>52</v>
      </c>
      <c r="C2" s="2" t="s">
        <v>53</v>
      </c>
      <c r="D2" s="2" t="s">
        <v>54</v>
      </c>
    </row>
    <row r="3" customFormat="false" ht="35.05" hidden="false" customHeight="false" outlineLevel="0" collapsed="false">
      <c r="A3" s="3" t="s">
        <v>55</v>
      </c>
      <c r="B3" s="3"/>
      <c r="C3" s="3"/>
      <c r="D3" s="3"/>
    </row>
    <row r="4" customFormat="false" ht="23.85" hidden="false" customHeight="false" outlineLevel="0" collapsed="false">
      <c r="A4" s="4" t="s">
        <v>56</v>
      </c>
      <c r="B4" s="4" t="s">
        <v>57</v>
      </c>
      <c r="C4" s="4" t="s">
        <v>58</v>
      </c>
      <c r="D4" s="4" t="s">
        <v>59</v>
      </c>
    </row>
    <row r="5" customFormat="false" ht="35.05" hidden="false" customHeight="false" outlineLevel="0" collapsed="false">
      <c r="A5" s="5" t="s">
        <v>60</v>
      </c>
      <c r="B5" s="5" t="s">
        <v>61</v>
      </c>
      <c r="C5" s="5" t="s">
        <v>62</v>
      </c>
      <c r="D5" s="5" t="s">
        <v>63</v>
      </c>
    </row>
    <row r="6" customFormat="false" ht="35.05" hidden="false" customHeight="false" outlineLevel="0" collapsed="false">
      <c r="A6" s="3" t="s">
        <v>64</v>
      </c>
      <c r="B6" s="3"/>
      <c r="C6" s="3"/>
      <c r="D6" s="3"/>
    </row>
    <row r="7" customFormat="false" ht="23.85" hidden="false" customHeight="false" outlineLevel="0" collapsed="false">
      <c r="A7" s="5" t="s">
        <v>56</v>
      </c>
      <c r="B7" s="5" t="s">
        <v>65</v>
      </c>
      <c r="C7" s="5" t="s">
        <v>66</v>
      </c>
      <c r="D7" s="5" t="s">
        <v>67</v>
      </c>
    </row>
    <row r="8" customFormat="false" ht="35.05" hidden="false" customHeight="false" outlineLevel="0" collapsed="false">
      <c r="A8" s="4" t="s">
        <v>60</v>
      </c>
      <c r="B8" s="4" t="s">
        <v>68</v>
      </c>
      <c r="C8" s="4" t="s">
        <v>69</v>
      </c>
      <c r="D8" s="4" t="s">
        <v>70</v>
      </c>
    </row>
    <row r="9" customFormat="false" ht="23.85" hidden="false" customHeight="false" outlineLevel="0" collapsed="false">
      <c r="A9" s="3" t="s">
        <v>71</v>
      </c>
      <c r="B9" s="3"/>
      <c r="C9" s="3"/>
      <c r="D9" s="3"/>
    </row>
    <row r="10" customFormat="false" ht="23.85" hidden="false" customHeight="false" outlineLevel="0" collapsed="false">
      <c r="A10" s="4" t="s">
        <v>56</v>
      </c>
      <c r="B10" s="4" t="s">
        <v>72</v>
      </c>
      <c r="C10" s="4" t="s">
        <v>73</v>
      </c>
      <c r="D10" s="4" t="s">
        <v>74</v>
      </c>
    </row>
    <row r="11" customFormat="false" ht="23.85" hidden="false" customHeight="false" outlineLevel="0" collapsed="false">
      <c r="A11" s="5" t="s">
        <v>60</v>
      </c>
      <c r="B11" s="5" t="s">
        <v>75</v>
      </c>
      <c r="C11" s="5" t="s">
        <v>76</v>
      </c>
      <c r="D11" s="5" t="s">
        <v>77</v>
      </c>
    </row>
    <row r="12" customFormat="false" ht="23.85" hidden="false" customHeight="false" outlineLevel="0" collapsed="false">
      <c r="A12" s="3" t="s">
        <v>78</v>
      </c>
      <c r="B12" s="3"/>
      <c r="C12" s="3"/>
      <c r="D12" s="3"/>
    </row>
    <row r="13" customFormat="false" ht="15" hidden="false" customHeight="false" outlineLevel="0" collapsed="false">
      <c r="A13" s="5" t="s">
        <v>56</v>
      </c>
      <c r="B13" s="5" t="s">
        <v>79</v>
      </c>
      <c r="C13" s="5" t="s">
        <v>80</v>
      </c>
      <c r="D13" s="5" t="s">
        <v>81</v>
      </c>
    </row>
    <row r="14" customFormat="false" ht="23.85" hidden="false" customHeight="false" outlineLevel="0" collapsed="false">
      <c r="A14" s="4" t="s">
        <v>60</v>
      </c>
      <c r="B14" s="4" t="s">
        <v>82</v>
      </c>
      <c r="C14" s="4" t="s">
        <v>83</v>
      </c>
      <c r="D14" s="4" t="s">
        <v>84</v>
      </c>
    </row>
    <row r="15" customFormat="false" ht="23.85" hidden="false" customHeight="false" outlineLevel="0" collapsed="false">
      <c r="A15" s="3" t="s">
        <v>85</v>
      </c>
      <c r="B15" s="3"/>
      <c r="C15" s="3"/>
      <c r="D15" s="3"/>
    </row>
    <row r="16" customFormat="false" ht="23.85" hidden="false" customHeight="false" outlineLevel="0" collapsed="false">
      <c r="A16" s="4" t="s">
        <v>86</v>
      </c>
      <c r="B16" s="4" t="s">
        <v>87</v>
      </c>
      <c r="C16" s="4" t="s">
        <v>88</v>
      </c>
      <c r="D16" s="4" t="s">
        <v>89</v>
      </c>
    </row>
    <row r="17" customFormat="false" ht="23.85" hidden="false" customHeight="false" outlineLevel="0" collapsed="false">
      <c r="A17" s="5" t="s">
        <v>90</v>
      </c>
      <c r="B17" s="5" t="s">
        <v>91</v>
      </c>
      <c r="C17" s="5" t="s">
        <v>92</v>
      </c>
      <c r="D17" s="5" t="s">
        <v>89</v>
      </c>
    </row>
    <row r="18" customFormat="false" ht="23.85" hidden="false" customHeight="false" outlineLevel="0" collapsed="false">
      <c r="A18" s="4" t="s">
        <v>93</v>
      </c>
      <c r="B18" s="4" t="s">
        <v>94</v>
      </c>
      <c r="C18" s="4" t="s">
        <v>95</v>
      </c>
      <c r="D18" s="4" t="s">
        <v>89</v>
      </c>
    </row>
    <row r="19" customFormat="false" ht="15" hidden="false" customHeight="false" outlineLevel="0" collapsed="false">
      <c r="A19" s="3" t="s">
        <v>96</v>
      </c>
      <c r="B19" s="3"/>
      <c r="C19" s="3"/>
      <c r="D19" s="3"/>
    </row>
    <row r="20" customFormat="false" ht="23.85" hidden="false" customHeight="false" outlineLevel="0" collapsed="false">
      <c r="A20" s="4" t="s">
        <v>97</v>
      </c>
      <c r="B20" s="4" t="s">
        <v>98</v>
      </c>
      <c r="C20" s="4" t="s">
        <v>99</v>
      </c>
      <c r="D20" s="4" t="s">
        <v>89</v>
      </c>
    </row>
    <row r="21" customFormat="false" ht="23.85" hidden="false" customHeight="false" outlineLevel="0" collapsed="false">
      <c r="A21" s="5" t="s">
        <v>100</v>
      </c>
      <c r="B21" s="5" t="s">
        <v>101</v>
      </c>
      <c r="C21" s="5" t="s">
        <v>102</v>
      </c>
      <c r="D21" s="5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5" min="4" style="0" width="42"/>
  </cols>
  <sheetData>
    <row r="1" customFormat="false" ht="17.35" hidden="false" customHeight="false" outlineLevel="0" collapsed="false">
      <c r="A1" s="1" t="s">
        <v>103</v>
      </c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104</v>
      </c>
      <c r="D2" s="2" t="s">
        <v>105</v>
      </c>
      <c r="E2" s="2" t="s">
        <v>106</v>
      </c>
    </row>
    <row r="3" customFormat="false" ht="35.05" hidden="false" customHeight="false" outlineLevel="0" collapsed="false">
      <c r="A3" s="3" t="s">
        <v>107</v>
      </c>
      <c r="B3" s="3"/>
      <c r="C3" s="3"/>
      <c r="D3" s="3"/>
      <c r="E3" s="3"/>
    </row>
    <row r="4" customFormat="false" ht="23.85" hidden="false" customHeight="false" outlineLevel="0" collapsed="false">
      <c r="A4" s="4" t="s">
        <v>108</v>
      </c>
      <c r="B4" s="4" t="s">
        <v>109</v>
      </c>
      <c r="C4" s="4" t="s">
        <v>110</v>
      </c>
      <c r="D4" s="4" t="s">
        <v>111</v>
      </c>
      <c r="E4" s="4" t="s">
        <v>112</v>
      </c>
    </row>
    <row r="5" customFormat="false" ht="23.85" hidden="false" customHeight="false" outlineLevel="0" collapsed="false">
      <c r="A5" s="5" t="s">
        <v>113</v>
      </c>
      <c r="B5" s="5" t="s">
        <v>114</v>
      </c>
      <c r="C5" s="5" t="s">
        <v>89</v>
      </c>
      <c r="D5" s="5" t="s">
        <v>89</v>
      </c>
      <c r="E5" s="5" t="s">
        <v>115</v>
      </c>
    </row>
    <row r="6" customFormat="false" ht="35.05" hidden="false" customHeight="false" outlineLevel="0" collapsed="false">
      <c r="A6" s="4" t="s">
        <v>116</v>
      </c>
      <c r="B6" s="4" t="s">
        <v>117</v>
      </c>
      <c r="C6" s="4" t="s">
        <v>89</v>
      </c>
      <c r="D6" s="4" t="s">
        <v>89</v>
      </c>
      <c r="E6" s="4" t="s">
        <v>118</v>
      </c>
    </row>
    <row r="7" customFormat="false" ht="35.05" hidden="false" customHeight="false" outlineLevel="0" collapsed="false">
      <c r="A7" s="3" t="s">
        <v>119</v>
      </c>
      <c r="B7" s="3"/>
      <c r="C7" s="3"/>
      <c r="D7" s="3"/>
      <c r="E7" s="3"/>
    </row>
    <row r="8" customFormat="false" ht="23.85" hidden="false" customHeight="false" outlineLevel="0" collapsed="false">
      <c r="A8" s="4" t="s">
        <v>108</v>
      </c>
      <c r="B8" s="4" t="s">
        <v>120</v>
      </c>
      <c r="C8" s="4" t="s">
        <v>121</v>
      </c>
      <c r="D8" s="4" t="s">
        <v>122</v>
      </c>
      <c r="E8" s="4" t="s">
        <v>123</v>
      </c>
    </row>
    <row r="9" customFormat="false" ht="35.05" hidden="false" customHeight="false" outlineLevel="0" collapsed="false">
      <c r="A9" s="5" t="s">
        <v>124</v>
      </c>
      <c r="B9" s="5" t="s">
        <v>125</v>
      </c>
      <c r="C9" s="5" t="s">
        <v>89</v>
      </c>
      <c r="D9" s="5" t="s">
        <v>89</v>
      </c>
      <c r="E9" s="5" t="s">
        <v>126</v>
      </c>
    </row>
    <row r="10" customFormat="false" ht="23.85" hidden="false" customHeight="false" outlineLevel="0" collapsed="false">
      <c r="A10" s="3" t="s">
        <v>127</v>
      </c>
      <c r="B10" s="3"/>
      <c r="C10" s="3"/>
      <c r="D10" s="3"/>
      <c r="E10" s="3"/>
    </row>
    <row r="11" customFormat="false" ht="23.85" hidden="false" customHeight="false" outlineLevel="0" collapsed="false">
      <c r="A11" s="5" t="s">
        <v>108</v>
      </c>
      <c r="B11" s="5" t="s">
        <v>128</v>
      </c>
      <c r="C11" s="5" t="s">
        <v>129</v>
      </c>
      <c r="D11" s="5" t="s">
        <v>130</v>
      </c>
      <c r="E11" s="5" t="s">
        <v>131</v>
      </c>
    </row>
    <row r="12" customFormat="false" ht="23.85" hidden="false" customHeight="false" outlineLevel="0" collapsed="false">
      <c r="A12" s="4" t="s">
        <v>124</v>
      </c>
      <c r="B12" s="4" t="s">
        <v>132</v>
      </c>
      <c r="C12" s="4" t="s">
        <v>89</v>
      </c>
      <c r="D12" s="4" t="s">
        <v>89</v>
      </c>
      <c r="E12" s="4" t="s">
        <v>133</v>
      </c>
    </row>
    <row r="13" customFormat="false" ht="23.85" hidden="false" customHeight="false" outlineLevel="0" collapsed="false">
      <c r="A13" s="3" t="s">
        <v>134</v>
      </c>
      <c r="B13" s="3"/>
      <c r="C13" s="3"/>
      <c r="D13" s="3"/>
      <c r="E13" s="3"/>
    </row>
    <row r="14" customFormat="false" ht="23.85" hidden="false" customHeight="false" outlineLevel="0" collapsed="false">
      <c r="A14" s="4" t="s">
        <v>135</v>
      </c>
      <c r="B14" s="4" t="s">
        <v>136</v>
      </c>
      <c r="C14" s="4" t="s">
        <v>137</v>
      </c>
      <c r="D14" s="4" t="s">
        <v>89</v>
      </c>
      <c r="E14" s="4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56"/>
    <col collapsed="false" customWidth="true" hidden="false" outlineLevel="0" max="4" min="4" style="0" width="4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  <c r="B2" s="2" t="s">
        <v>141</v>
      </c>
      <c r="C2" s="2" t="s">
        <v>142</v>
      </c>
      <c r="D2" s="2" t="s">
        <v>143</v>
      </c>
      <c r="E2" s="2" t="s">
        <v>144</v>
      </c>
    </row>
    <row r="3" customFormat="false" ht="102.2" hidden="false" customHeight="false" outlineLevel="0" collapsed="false">
      <c r="A3" s="3" t="s">
        <v>145</v>
      </c>
      <c r="B3" s="3"/>
      <c r="C3" s="3"/>
      <c r="D3" s="3"/>
      <c r="E3" s="3"/>
    </row>
    <row r="4" customFormat="false" ht="23.85" hidden="false" customHeight="false" outlineLevel="0" collapsed="false">
      <c r="A4" s="4" t="s">
        <v>146</v>
      </c>
      <c r="B4" s="4" t="s">
        <v>147</v>
      </c>
      <c r="C4" s="4" t="s">
        <v>148</v>
      </c>
      <c r="D4" s="4" t="s">
        <v>149</v>
      </c>
      <c r="E4" s="4" t="s">
        <v>46</v>
      </c>
    </row>
    <row r="5" customFormat="false" ht="23.85" hidden="false" customHeight="false" outlineLevel="0" collapsed="false">
      <c r="A5" s="5" t="s">
        <v>150</v>
      </c>
      <c r="B5" s="5" t="s">
        <v>151</v>
      </c>
      <c r="C5" s="5" t="s">
        <v>152</v>
      </c>
      <c r="D5" s="5" t="s">
        <v>153</v>
      </c>
      <c r="E5" s="5" t="s">
        <v>154</v>
      </c>
    </row>
    <row r="6" customFormat="false" ht="35.05" hidden="false" customHeight="false" outlineLevel="0" collapsed="false">
      <c r="A6" s="4" t="s">
        <v>155</v>
      </c>
      <c r="B6" s="4" t="s">
        <v>156</v>
      </c>
      <c r="C6" s="4" t="s">
        <v>157</v>
      </c>
      <c r="D6" s="4" t="s">
        <v>158</v>
      </c>
      <c r="E6" s="4" t="s">
        <v>46</v>
      </c>
    </row>
    <row r="7" customFormat="false" ht="113.4" hidden="false" customHeight="false" outlineLevel="0" collapsed="false">
      <c r="A7" s="3" t="s">
        <v>159</v>
      </c>
      <c r="B7" s="3"/>
      <c r="C7" s="3"/>
      <c r="D7" s="3"/>
      <c r="E7" s="3"/>
    </row>
    <row r="8" customFormat="false" ht="35.05" hidden="false" customHeight="false" outlineLevel="0" collapsed="false">
      <c r="A8" s="4" t="s">
        <v>160</v>
      </c>
      <c r="B8" s="4" t="s">
        <v>161</v>
      </c>
      <c r="C8" s="4" t="s">
        <v>162</v>
      </c>
      <c r="D8" s="4" t="s">
        <v>163</v>
      </c>
      <c r="E8" s="4" t="s">
        <v>164</v>
      </c>
    </row>
    <row r="9" customFormat="false" ht="15" hidden="false" customHeight="false" outlineLevel="0" collapsed="false">
      <c r="A9" s="5" t="s">
        <v>165</v>
      </c>
      <c r="B9" s="5" t="s">
        <v>166</v>
      </c>
      <c r="C9" s="5" t="s">
        <v>167</v>
      </c>
      <c r="D9" s="5" t="s">
        <v>168</v>
      </c>
      <c r="E9" s="5" t="s">
        <v>169</v>
      </c>
    </row>
    <row r="10" customFormat="false" ht="23.85" hidden="false" customHeight="false" outlineLevel="0" collapsed="false">
      <c r="A10" s="4" t="s">
        <v>170</v>
      </c>
      <c r="B10" s="4" t="s">
        <v>171</v>
      </c>
      <c r="C10" s="4" t="s">
        <v>172</v>
      </c>
      <c r="D10" s="4" t="s">
        <v>173</v>
      </c>
      <c r="E10" s="4" t="s">
        <v>46</v>
      </c>
    </row>
    <row r="11" customFormat="false" ht="113.4" hidden="false" customHeight="false" outlineLevel="0" collapsed="false">
      <c r="A11" s="3" t="s">
        <v>174</v>
      </c>
      <c r="B11" s="3"/>
      <c r="C11" s="3"/>
      <c r="D11" s="3"/>
      <c r="E11" s="3"/>
    </row>
    <row r="12" customFormat="false" ht="35.05" hidden="false" customHeight="false" outlineLevel="0" collapsed="false">
      <c r="A12" s="4" t="s">
        <v>175</v>
      </c>
      <c r="B12" s="4" t="s">
        <v>176</v>
      </c>
      <c r="C12" s="4" t="s">
        <v>177</v>
      </c>
      <c r="D12" s="4" t="s">
        <v>178</v>
      </c>
      <c r="E12" s="4" t="s">
        <v>179</v>
      </c>
    </row>
    <row r="13" customFormat="false" ht="15" hidden="false" customHeight="false" outlineLevel="0" collapsed="false">
      <c r="A13" s="5" t="s">
        <v>180</v>
      </c>
      <c r="B13" s="5" t="s">
        <v>181</v>
      </c>
      <c r="C13" s="5" t="s">
        <v>182</v>
      </c>
      <c r="D13" s="5" t="s">
        <v>183</v>
      </c>
      <c r="E13" s="5" t="s">
        <v>179</v>
      </c>
    </row>
    <row r="14" customFormat="false" ht="23.85" hidden="false" customHeight="false" outlineLevel="0" collapsed="false">
      <c r="A14" s="4" t="s">
        <v>184</v>
      </c>
      <c r="B14" s="4" t="s">
        <v>185</v>
      </c>
      <c r="C14" s="4" t="s">
        <v>186</v>
      </c>
      <c r="D14" s="4" t="s">
        <v>187</v>
      </c>
      <c r="E14" s="4" t="s">
        <v>169</v>
      </c>
    </row>
    <row r="15" customFormat="false" ht="35.05" hidden="false" customHeight="false" outlineLevel="0" collapsed="false">
      <c r="A15" s="3" t="s">
        <v>188</v>
      </c>
      <c r="B15" s="3"/>
      <c r="C15" s="3"/>
      <c r="D15" s="3"/>
      <c r="E15" s="3"/>
    </row>
    <row r="16" customFormat="false" ht="23.85" hidden="false" customHeight="false" outlineLevel="0" collapsed="false">
      <c r="A16" s="4" t="s">
        <v>189</v>
      </c>
      <c r="B16" s="4" t="s">
        <v>190</v>
      </c>
      <c r="C16" s="4" t="s">
        <v>191</v>
      </c>
      <c r="D16" s="4" t="s">
        <v>192</v>
      </c>
      <c r="E16" s="4" t="s">
        <v>46</v>
      </c>
    </row>
    <row r="17" customFormat="false" ht="15" hidden="false" customHeight="false" outlineLevel="0" collapsed="false">
      <c r="A17" s="5" t="s">
        <v>193</v>
      </c>
      <c r="B17" s="5" t="s">
        <v>194</v>
      </c>
      <c r="C17" s="5" t="s">
        <v>195</v>
      </c>
      <c r="D17" s="5" t="s">
        <v>196</v>
      </c>
      <c r="E17" s="5" t="s">
        <v>169</v>
      </c>
    </row>
    <row r="18" customFormat="false" ht="23.85" hidden="false" customHeight="false" outlineLevel="0" collapsed="false">
      <c r="A18" s="4" t="s">
        <v>197</v>
      </c>
      <c r="B18" s="4" t="s">
        <v>198</v>
      </c>
      <c r="C18" s="4" t="s">
        <v>199</v>
      </c>
      <c r="D18" s="4" t="s">
        <v>200</v>
      </c>
      <c r="E18" s="4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" t="s">
        <v>202</v>
      </c>
    </row>
    <row r="2" customFormat="false" ht="27.75" hidden="false" customHeight="true" outlineLevel="0" collapsed="false">
      <c r="A2" s="6" t="s">
        <v>203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2" t="s">
        <v>204</v>
      </c>
      <c r="B3" s="2" t="s">
        <v>205</v>
      </c>
      <c r="C3" s="2" t="s">
        <v>206</v>
      </c>
      <c r="D3" s="2" t="s">
        <v>207</v>
      </c>
      <c r="E3" s="2" t="s">
        <v>208</v>
      </c>
      <c r="F3" s="2" t="s">
        <v>209</v>
      </c>
    </row>
    <row r="4" customFormat="false" ht="102.2" hidden="false" customHeight="false" outlineLevel="0" collapsed="false">
      <c r="A4" s="3" t="s">
        <v>210</v>
      </c>
      <c r="B4" s="3"/>
      <c r="C4" s="3"/>
      <c r="D4" s="3"/>
      <c r="E4" s="3"/>
      <c r="F4" s="3"/>
    </row>
    <row r="5" customFormat="false" ht="35.05" hidden="false" customHeight="false" outlineLevel="0" collapsed="false">
      <c r="A5" s="4" t="s">
        <v>146</v>
      </c>
      <c r="B5" s="4" t="s">
        <v>211</v>
      </c>
      <c r="C5" s="4" t="s">
        <v>212</v>
      </c>
      <c r="D5" s="4" t="s">
        <v>213</v>
      </c>
      <c r="E5" s="4" t="s">
        <v>214</v>
      </c>
      <c r="F5" s="4" t="s">
        <v>215</v>
      </c>
    </row>
    <row r="6" customFormat="false" ht="46.25" hidden="false" customHeight="false" outlineLevel="0" collapsed="false">
      <c r="A6" s="5" t="s">
        <v>150</v>
      </c>
      <c r="B6" s="5" t="s">
        <v>216</v>
      </c>
      <c r="C6" s="5" t="s">
        <v>217</v>
      </c>
      <c r="D6" s="5" t="s">
        <v>218</v>
      </c>
      <c r="E6" s="5" t="s">
        <v>219</v>
      </c>
      <c r="F6" s="5" t="s">
        <v>220</v>
      </c>
    </row>
    <row r="7" customFormat="false" ht="124.6" hidden="false" customHeight="false" outlineLevel="0" collapsed="false">
      <c r="A7" s="3" t="s">
        <v>221</v>
      </c>
      <c r="B7" s="3"/>
      <c r="C7" s="3"/>
      <c r="D7" s="3"/>
      <c r="E7" s="3"/>
      <c r="F7" s="3"/>
    </row>
    <row r="8" customFormat="false" ht="46.25" hidden="false" customHeight="false" outlineLevel="0" collapsed="false">
      <c r="A8" s="5" t="s">
        <v>155</v>
      </c>
      <c r="B8" s="5" t="s">
        <v>222</v>
      </c>
      <c r="C8" s="5" t="s">
        <v>223</v>
      </c>
      <c r="D8" s="5" t="s">
        <v>224</v>
      </c>
      <c r="E8" s="5" t="s">
        <v>225</v>
      </c>
      <c r="F8" s="5" t="s">
        <v>226</v>
      </c>
    </row>
    <row r="9" customFormat="false" ht="23.85" hidden="false" customHeight="false" outlineLevel="0" collapsed="false">
      <c r="A9" s="4" t="s">
        <v>160</v>
      </c>
      <c r="B9" s="4" t="s">
        <v>227</v>
      </c>
      <c r="C9" s="4" t="s">
        <v>228</v>
      </c>
      <c r="D9" s="4" t="s">
        <v>229</v>
      </c>
      <c r="E9" s="4" t="s">
        <v>230</v>
      </c>
      <c r="F9" s="4" t="s">
        <v>231</v>
      </c>
    </row>
    <row r="10" customFormat="false" ht="23.85" hidden="false" customHeight="false" outlineLevel="0" collapsed="false">
      <c r="A10" s="5" t="s">
        <v>165</v>
      </c>
      <c r="B10" s="5" t="s">
        <v>232</v>
      </c>
      <c r="C10" s="5" t="s">
        <v>233</v>
      </c>
      <c r="D10" s="5" t="s">
        <v>229</v>
      </c>
      <c r="E10" s="5" t="s">
        <v>234</v>
      </c>
      <c r="F10" s="5" t="s">
        <v>89</v>
      </c>
    </row>
    <row r="11" customFormat="false" ht="147" hidden="false" customHeight="false" outlineLevel="0" collapsed="false">
      <c r="A11" s="3" t="s">
        <v>235</v>
      </c>
      <c r="B11" s="3"/>
      <c r="C11" s="3"/>
      <c r="D11" s="3"/>
      <c r="E11" s="3"/>
      <c r="F11" s="3"/>
    </row>
    <row r="12" customFormat="false" ht="23.85" hidden="false" customHeight="false" outlineLevel="0" collapsed="false">
      <c r="A12" s="5" t="s">
        <v>170</v>
      </c>
      <c r="B12" s="5" t="s">
        <v>236</v>
      </c>
      <c r="C12" s="5" t="s">
        <v>237</v>
      </c>
      <c r="D12" s="5" t="s">
        <v>238</v>
      </c>
      <c r="E12" s="5" t="s">
        <v>239</v>
      </c>
      <c r="F12" s="5" t="s">
        <v>240</v>
      </c>
    </row>
    <row r="13" customFormat="false" ht="35.05" hidden="false" customHeight="false" outlineLevel="0" collapsed="false">
      <c r="A13" s="4" t="s">
        <v>175</v>
      </c>
      <c r="B13" s="4" t="s">
        <v>241</v>
      </c>
      <c r="C13" s="4" t="s">
        <v>242</v>
      </c>
      <c r="D13" s="4" t="s">
        <v>243</v>
      </c>
      <c r="E13" s="4" t="s">
        <v>244</v>
      </c>
      <c r="F13" s="4" t="s">
        <v>245</v>
      </c>
    </row>
    <row r="14" customFormat="false" ht="35.05" hidden="false" customHeight="false" outlineLevel="0" collapsed="false">
      <c r="A14" s="5" t="s">
        <v>180</v>
      </c>
      <c r="B14" s="5" t="s">
        <v>246</v>
      </c>
      <c r="C14" s="5" t="s">
        <v>247</v>
      </c>
      <c r="D14" s="5" t="s">
        <v>229</v>
      </c>
      <c r="E14" s="5" t="s">
        <v>248</v>
      </c>
      <c r="F14" s="5" t="s">
        <v>89</v>
      </c>
    </row>
    <row r="15" customFormat="false" ht="124.6" hidden="false" customHeight="false" outlineLevel="0" collapsed="false">
      <c r="A15" s="3" t="s">
        <v>249</v>
      </c>
      <c r="B15" s="3"/>
      <c r="C15" s="3"/>
      <c r="D15" s="3"/>
      <c r="E15" s="3"/>
      <c r="F15" s="3"/>
    </row>
    <row r="16" customFormat="false" ht="23.85" hidden="false" customHeight="false" outlineLevel="0" collapsed="false">
      <c r="A16" s="5" t="s">
        <v>184</v>
      </c>
      <c r="B16" s="5" t="s">
        <v>250</v>
      </c>
      <c r="C16" s="5" t="s">
        <v>251</v>
      </c>
      <c r="D16" s="5" t="s">
        <v>229</v>
      </c>
      <c r="E16" s="5" t="s">
        <v>252</v>
      </c>
      <c r="F16" s="5" t="s">
        <v>253</v>
      </c>
    </row>
    <row r="17" customFormat="false" ht="23.85" hidden="false" customHeight="false" outlineLevel="0" collapsed="false">
      <c r="A17" s="4" t="s">
        <v>189</v>
      </c>
      <c r="B17" s="4" t="s">
        <v>254</v>
      </c>
      <c r="C17" s="4" t="s">
        <v>255</v>
      </c>
      <c r="D17" s="4" t="s">
        <v>256</v>
      </c>
      <c r="E17" s="4" t="s">
        <v>257</v>
      </c>
      <c r="F17" s="4" t="s">
        <v>258</v>
      </c>
    </row>
    <row r="18" customFormat="false" ht="23.85" hidden="false" customHeight="false" outlineLevel="0" collapsed="false">
      <c r="A18" s="5" t="s">
        <v>193</v>
      </c>
      <c r="B18" s="5" t="s">
        <v>259</v>
      </c>
      <c r="C18" s="5" t="s">
        <v>260</v>
      </c>
      <c r="D18" s="5" t="s">
        <v>261</v>
      </c>
      <c r="E18" s="5" t="s">
        <v>262</v>
      </c>
      <c r="F18" s="5" t="s">
        <v>89</v>
      </c>
    </row>
    <row r="19" customFormat="false" ht="35.05" hidden="false" customHeight="false" outlineLevel="0" collapsed="false">
      <c r="A19" s="4" t="s">
        <v>197</v>
      </c>
      <c r="B19" s="4" t="s">
        <v>263</v>
      </c>
      <c r="C19" s="4" t="s">
        <v>264</v>
      </c>
      <c r="D19" s="4" t="s">
        <v>256</v>
      </c>
      <c r="E19" s="4" t="s">
        <v>265</v>
      </c>
      <c r="F19" s="4" t="s">
        <v>266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6"/>
    <col collapsed="false" customWidth="true" hidden="false" outlineLevel="0" max="3" min="3" style="0" width="38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51</v>
      </c>
      <c r="B2" s="2" t="s">
        <v>268</v>
      </c>
      <c r="C2" s="2" t="s">
        <v>142</v>
      </c>
      <c r="D2" s="2" t="s">
        <v>269</v>
      </c>
    </row>
    <row r="3" customFormat="false" ht="23.85" hidden="false" customHeight="false" outlineLevel="0" collapsed="false">
      <c r="A3" s="3" t="s">
        <v>270</v>
      </c>
      <c r="B3" s="3"/>
      <c r="C3" s="3"/>
      <c r="D3" s="3"/>
    </row>
    <row r="4" customFormat="false" ht="46.25" hidden="false" customHeight="false" outlineLevel="0" collapsed="false">
      <c r="A4" s="4" t="s">
        <v>271</v>
      </c>
      <c r="B4" s="4" t="s">
        <v>272</v>
      </c>
      <c r="C4" s="4" t="s">
        <v>273</v>
      </c>
      <c r="D4" s="4" t="s">
        <v>274</v>
      </c>
    </row>
    <row r="5" customFormat="false" ht="23.85" hidden="false" customHeight="false" outlineLevel="0" collapsed="false">
      <c r="A5" s="3" t="s">
        <v>275</v>
      </c>
      <c r="B5" s="3"/>
      <c r="C5" s="3"/>
      <c r="D5" s="3"/>
    </row>
    <row r="6" customFormat="false" ht="46.25" hidden="false" customHeight="false" outlineLevel="0" collapsed="false">
      <c r="A6" s="4" t="s">
        <v>276</v>
      </c>
      <c r="B6" s="4" t="s">
        <v>277</v>
      </c>
      <c r="C6" s="4" t="s">
        <v>278</v>
      </c>
      <c r="D6" s="4" t="s">
        <v>279</v>
      </c>
    </row>
    <row r="7" customFormat="false" ht="35.05" hidden="false" customHeight="false" outlineLevel="0" collapsed="false">
      <c r="A7" s="3" t="s">
        <v>280</v>
      </c>
      <c r="B7" s="3"/>
      <c r="C7" s="3"/>
      <c r="D7" s="3"/>
    </row>
    <row r="8" customFormat="false" ht="46.25" hidden="false" customHeight="false" outlineLevel="0" collapsed="false">
      <c r="A8" s="4" t="s">
        <v>276</v>
      </c>
      <c r="B8" s="4" t="s">
        <v>281</v>
      </c>
      <c r="C8" s="4" t="s">
        <v>282</v>
      </c>
      <c r="D8" s="4" t="s">
        <v>283</v>
      </c>
    </row>
    <row r="9" customFormat="false" ht="23.85" hidden="false" customHeight="false" outlineLevel="0" collapsed="false">
      <c r="A9" s="3" t="s">
        <v>284</v>
      </c>
      <c r="B9" s="3"/>
      <c r="C9" s="3"/>
      <c r="D9" s="3"/>
    </row>
    <row r="10" customFormat="false" ht="35.05" hidden="false" customHeight="false" outlineLevel="0" collapsed="false">
      <c r="A10" s="4" t="s">
        <v>276</v>
      </c>
      <c r="B10" s="4" t="s">
        <v>285</v>
      </c>
      <c r="C10" s="4" t="s">
        <v>286</v>
      </c>
      <c r="D10" s="4" t="s">
        <v>287</v>
      </c>
    </row>
    <row r="11" customFormat="false" ht="35.05" hidden="false" customHeight="false" outlineLevel="0" collapsed="false">
      <c r="A11" s="3" t="s">
        <v>288</v>
      </c>
      <c r="B11" s="3"/>
      <c r="C11" s="3"/>
      <c r="D11" s="3"/>
    </row>
    <row r="12" customFormat="false" ht="23.85" hidden="false" customHeight="false" outlineLevel="0" collapsed="false">
      <c r="A12" s="4" t="s">
        <v>276</v>
      </c>
      <c r="B12" s="4" t="s">
        <v>289</v>
      </c>
      <c r="C12" s="4" t="s">
        <v>290</v>
      </c>
      <c r="D12" s="4" t="s">
        <v>291</v>
      </c>
    </row>
    <row r="13" customFormat="false" ht="23.85" hidden="false" customHeight="false" outlineLevel="0" collapsed="false">
      <c r="A13" s="3" t="s">
        <v>292</v>
      </c>
      <c r="B13" s="3"/>
      <c r="C13" s="3"/>
      <c r="D13" s="3"/>
    </row>
    <row r="14" customFormat="false" ht="23.85" hidden="false" customHeight="false" outlineLevel="0" collapsed="false">
      <c r="A14" s="4" t="s">
        <v>276</v>
      </c>
      <c r="B14" s="4" t="s">
        <v>293</v>
      </c>
      <c r="C14" s="4" t="s">
        <v>294</v>
      </c>
      <c r="D14" s="4" t="s">
        <v>295</v>
      </c>
    </row>
    <row r="15" customFormat="false" ht="23.85" hidden="false" customHeight="false" outlineLevel="0" collapsed="false">
      <c r="A15" s="3" t="s">
        <v>296</v>
      </c>
      <c r="B15" s="3"/>
      <c r="C15" s="3"/>
      <c r="D15" s="3"/>
    </row>
    <row r="16" customFormat="false" ht="23.85" hidden="false" customHeight="false" outlineLevel="0" collapsed="false">
      <c r="A16" s="4" t="s">
        <v>276</v>
      </c>
      <c r="B16" s="4" t="s">
        <v>297</v>
      </c>
      <c r="C16" s="4" t="s">
        <v>298</v>
      </c>
      <c r="D16" s="4" t="s">
        <v>299</v>
      </c>
    </row>
    <row r="17" customFormat="false" ht="15" hidden="false" customHeight="false" outlineLevel="0" collapsed="false">
      <c r="A17" s="3" t="s">
        <v>300</v>
      </c>
      <c r="B17" s="3"/>
      <c r="C17" s="3"/>
      <c r="D17" s="3"/>
    </row>
    <row r="18" customFormat="false" ht="23.85" hidden="false" customHeight="false" outlineLevel="0" collapsed="false">
      <c r="A18" s="4" t="s">
        <v>301</v>
      </c>
      <c r="B18" s="4" t="s">
        <v>302</v>
      </c>
      <c r="C18" s="4" t="s">
        <v>303</v>
      </c>
      <c r="D18" s="4" t="s">
        <v>89</v>
      </c>
    </row>
    <row r="19" customFormat="false" ht="35.05" hidden="false" customHeight="false" outlineLevel="0" collapsed="false">
      <c r="A19" s="5" t="s">
        <v>304</v>
      </c>
      <c r="B19" s="5" t="s">
        <v>305</v>
      </c>
      <c r="C19" s="5" t="s">
        <v>306</v>
      </c>
      <c r="D19" s="5" t="s">
        <v>89</v>
      </c>
    </row>
    <row r="20" customFormat="false" ht="35.05" hidden="false" customHeight="false" outlineLevel="0" collapsed="false">
      <c r="A20" s="4" t="s">
        <v>307</v>
      </c>
      <c r="B20" s="4" t="s">
        <v>308</v>
      </c>
      <c r="C20" s="4" t="s">
        <v>89</v>
      </c>
      <c r="D20" s="4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309</v>
      </c>
    </row>
    <row r="2" customFormat="false" ht="15" hidden="false" customHeight="false" outlineLevel="0" collapsed="false">
      <c r="A2" s="7" t="s">
        <v>310</v>
      </c>
    </row>
    <row r="3" customFormat="false" ht="39.55" hidden="false" customHeight="false" outlineLevel="0" collapsed="false">
      <c r="A3" s="2" t="s">
        <v>311</v>
      </c>
      <c r="B3" s="2" t="s">
        <v>312</v>
      </c>
      <c r="C3" s="2" t="s">
        <v>313</v>
      </c>
      <c r="D3" s="2" t="s">
        <v>314</v>
      </c>
      <c r="E3" s="2" t="s">
        <v>315</v>
      </c>
      <c r="F3" s="2" t="s">
        <v>21</v>
      </c>
      <c r="G3" s="2" t="s">
        <v>316</v>
      </c>
      <c r="H3" s="2" t="s">
        <v>317</v>
      </c>
      <c r="I3" s="2" t="s">
        <v>318</v>
      </c>
      <c r="J3" s="2" t="s">
        <v>319</v>
      </c>
      <c r="K3" s="2" t="s">
        <v>320</v>
      </c>
    </row>
    <row r="4" customFormat="false" ht="15" hidden="false" customHeight="false" outlineLevel="0" collapsed="false">
      <c r="A4" s="8" t="s">
        <v>46</v>
      </c>
      <c r="B4" s="9"/>
      <c r="C4" s="10" t="n">
        <f aca="false">B4</f>
        <v>0</v>
      </c>
      <c r="D4" s="9"/>
      <c r="E4" s="9"/>
      <c r="F4" s="9"/>
      <c r="G4" s="11" t="str">
        <f aca="false">IF(OR(D4="",D4=0),"-",F4/D4)</f>
        <v>-</v>
      </c>
      <c r="H4" s="9"/>
      <c r="I4" s="10" t="n">
        <f aca="false">H4</f>
        <v>0</v>
      </c>
      <c r="J4" s="11" t="str">
        <f aca="false">IF(OR(D4="",D4=0),"-",E4/D4)</f>
        <v>-</v>
      </c>
      <c r="K4" s="12"/>
    </row>
    <row r="5" customFormat="false" ht="15" hidden="false" customHeight="false" outlineLevel="0" collapsed="false">
      <c r="A5" s="13" t="s">
        <v>169</v>
      </c>
      <c r="B5" s="9"/>
      <c r="C5" s="14" t="n">
        <f aca="false">C4+B5</f>
        <v>0</v>
      </c>
      <c r="D5" s="9"/>
      <c r="E5" s="9"/>
      <c r="F5" s="9"/>
      <c r="G5" s="15" t="str">
        <f aca="false">IF(OR(D5="",D5=0),"-",F5/D5)</f>
        <v>-</v>
      </c>
      <c r="H5" s="9"/>
      <c r="I5" s="14" t="n">
        <f aca="false">I4+H5</f>
        <v>0</v>
      </c>
      <c r="J5" s="15" t="str">
        <f aca="false">IF(OR(D5="",D5=0),"-",E5/D5)</f>
        <v>-</v>
      </c>
      <c r="K5" s="16"/>
    </row>
    <row r="6" customFormat="false" ht="15" hidden="false" customHeight="false" outlineLevel="0" collapsed="false">
      <c r="A6" s="8" t="s">
        <v>179</v>
      </c>
      <c r="B6" s="9"/>
      <c r="C6" s="10" t="n">
        <f aca="false">C5+B6</f>
        <v>0</v>
      </c>
      <c r="D6" s="9"/>
      <c r="E6" s="9"/>
      <c r="F6" s="9"/>
      <c r="G6" s="11" t="str">
        <f aca="false">IF(OR(D6="",D6=0),"-",F6/D6)</f>
        <v>-</v>
      </c>
      <c r="H6" s="9"/>
      <c r="I6" s="10" t="n">
        <f aca="false">I5+H6</f>
        <v>0</v>
      </c>
      <c r="J6" s="11" t="str">
        <f aca="false">IF(OR(D6="",D6=0),"-",E6/D6)</f>
        <v>-</v>
      </c>
      <c r="K6" s="12"/>
    </row>
    <row r="7" customFormat="false" ht="15" hidden="false" customHeight="false" outlineLevel="0" collapsed="false">
      <c r="A7" s="13" t="s">
        <v>201</v>
      </c>
      <c r="B7" s="9"/>
      <c r="C7" s="14" t="n">
        <f aca="false">C6+B7</f>
        <v>0</v>
      </c>
      <c r="D7" s="9"/>
      <c r="E7" s="9"/>
      <c r="F7" s="9"/>
      <c r="G7" s="15" t="str">
        <f aca="false">IF(OR(D7="",D7=0),"-",F7/D7)</f>
        <v>-</v>
      </c>
      <c r="H7" s="9"/>
      <c r="I7" s="14" t="n">
        <f aca="false">I6+H7</f>
        <v>0</v>
      </c>
      <c r="J7" s="15" t="str">
        <f aca="false">IF(OR(D7="",D7=0),"-",E7/D7)</f>
        <v>-</v>
      </c>
      <c r="K7" s="16"/>
    </row>
    <row r="8" customFormat="false" ht="15" hidden="false" customHeight="false" outlineLevel="0" collapsed="false">
      <c r="A8" s="8" t="s">
        <v>321</v>
      </c>
      <c r="B8" s="9"/>
      <c r="C8" s="10" t="n">
        <f aca="false">C7+B8</f>
        <v>0</v>
      </c>
      <c r="D8" s="9"/>
      <c r="E8" s="9"/>
      <c r="F8" s="9"/>
      <c r="G8" s="11" t="str">
        <f aca="false">IF(OR(D8="",D8=0),"-",F8/D8)</f>
        <v>-</v>
      </c>
      <c r="H8" s="9"/>
      <c r="I8" s="10" t="n">
        <f aca="false">I7+H8</f>
        <v>0</v>
      </c>
      <c r="J8" s="11" t="str">
        <f aca="false">IF(OR(D8="",D8=0),"-",E8/D8)</f>
        <v>-</v>
      </c>
      <c r="K8" s="12"/>
    </row>
    <row r="9" customFormat="false" ht="15" hidden="false" customHeight="false" outlineLevel="0" collapsed="false">
      <c r="A9" s="13" t="s">
        <v>322</v>
      </c>
      <c r="B9" s="9"/>
      <c r="C9" s="14" t="n">
        <f aca="false">C8+B9</f>
        <v>0</v>
      </c>
      <c r="D9" s="9"/>
      <c r="E9" s="9"/>
      <c r="F9" s="9"/>
      <c r="G9" s="15" t="str">
        <f aca="false">IF(OR(D9="",D9=0),"-",F9/D9)</f>
        <v>-</v>
      </c>
      <c r="H9" s="9"/>
      <c r="I9" s="14" t="n">
        <f aca="false">I8+H9</f>
        <v>0</v>
      </c>
      <c r="J9" s="15" t="str">
        <f aca="false">IF(OR(D9="",D9=0),"-",E9/D9)</f>
        <v>-</v>
      </c>
      <c r="K9" s="16"/>
    </row>
    <row r="10" customFormat="false" ht="15" hidden="false" customHeight="false" outlineLevel="0" collapsed="false">
      <c r="A10" s="8" t="s">
        <v>323</v>
      </c>
      <c r="B10" s="9"/>
      <c r="C10" s="10" t="n">
        <f aca="false">C9+B10</f>
        <v>0</v>
      </c>
      <c r="D10" s="9"/>
      <c r="E10" s="9"/>
      <c r="F10" s="9"/>
      <c r="G10" s="11" t="str">
        <f aca="false">IF(OR(D10="",D10=0),"-",F10/D10)</f>
        <v>-</v>
      </c>
      <c r="H10" s="9"/>
      <c r="I10" s="10" t="n">
        <f aca="false">I9+H10</f>
        <v>0</v>
      </c>
      <c r="J10" s="11" t="str">
        <f aca="false">IF(OR(D10="",D10=0),"-",E10/D10)</f>
        <v>-</v>
      </c>
      <c r="K10" s="12"/>
    </row>
    <row r="11" customFormat="false" ht="15" hidden="false" customHeight="false" outlineLevel="0" collapsed="false">
      <c r="A11" s="13" t="s">
        <v>324</v>
      </c>
      <c r="B11" s="9"/>
      <c r="C11" s="14" t="n">
        <f aca="false">C10+B11</f>
        <v>0</v>
      </c>
      <c r="D11" s="9"/>
      <c r="E11" s="9"/>
      <c r="F11" s="9"/>
      <c r="G11" s="15" t="str">
        <f aca="false">IF(OR(D11="",D11=0),"-",F11/D11)</f>
        <v>-</v>
      </c>
      <c r="H11" s="9"/>
      <c r="I11" s="14" t="n">
        <f aca="false">I10+H11</f>
        <v>0</v>
      </c>
      <c r="J11" s="15" t="str">
        <f aca="false">IF(OR(D11="",D11=0),"-",E11/D11)</f>
        <v>-</v>
      </c>
      <c r="K11" s="16"/>
    </row>
    <row r="12" customFormat="false" ht="15" hidden="false" customHeight="false" outlineLevel="0" collapsed="false">
      <c r="A12" s="8" t="s">
        <v>325</v>
      </c>
      <c r="B12" s="9"/>
      <c r="C12" s="10" t="n">
        <f aca="false">C11+B12</f>
        <v>0</v>
      </c>
      <c r="D12" s="9"/>
      <c r="E12" s="9"/>
      <c r="F12" s="9"/>
      <c r="G12" s="11" t="str">
        <f aca="false">IF(OR(D12="",D12=0),"-",F12/D12)</f>
        <v>-</v>
      </c>
      <c r="H12" s="9"/>
      <c r="I12" s="10" t="n">
        <f aca="false">I11+H12</f>
        <v>0</v>
      </c>
      <c r="J12" s="11" t="str">
        <f aca="false">IF(OR(D12="",D12=0),"-",E12/D12)</f>
        <v>-</v>
      </c>
      <c r="K12" s="12"/>
    </row>
    <row r="13" customFormat="false" ht="15" hidden="false" customHeight="false" outlineLevel="0" collapsed="false">
      <c r="A13" s="13" t="s">
        <v>326</v>
      </c>
      <c r="B13" s="9"/>
      <c r="C13" s="14" t="n">
        <f aca="false">C12+B13</f>
        <v>0</v>
      </c>
      <c r="D13" s="9"/>
      <c r="E13" s="9"/>
      <c r="F13" s="9"/>
      <c r="G13" s="15" t="str">
        <f aca="false">IF(OR(D13="",D13=0),"-",F13/D13)</f>
        <v>-</v>
      </c>
      <c r="H13" s="9"/>
      <c r="I13" s="14" t="n">
        <f aca="false">I12+H13</f>
        <v>0</v>
      </c>
      <c r="J13" s="15" t="str">
        <f aca="false">IF(OR(D13="",D13=0),"-",E13/D13)</f>
        <v>-</v>
      </c>
      <c r="K13" s="16"/>
    </row>
    <row r="14" customFormat="false" ht="15" hidden="false" customHeight="false" outlineLevel="0" collapsed="false">
      <c r="A14" s="8" t="s">
        <v>327</v>
      </c>
      <c r="B14" s="9"/>
      <c r="C14" s="10" t="n">
        <f aca="false">C13+B14</f>
        <v>0</v>
      </c>
      <c r="D14" s="9"/>
      <c r="E14" s="9"/>
      <c r="F14" s="9"/>
      <c r="G14" s="11" t="str">
        <f aca="false">IF(OR(D14="",D14=0),"-",F14/D14)</f>
        <v>-</v>
      </c>
      <c r="H14" s="9"/>
      <c r="I14" s="10" t="n">
        <f aca="false">I13+H14</f>
        <v>0</v>
      </c>
      <c r="J14" s="11" t="str">
        <f aca="false">IF(OR(D14="",D14=0),"-",E14/D14)</f>
        <v>-</v>
      </c>
      <c r="K14" s="12"/>
    </row>
    <row r="15" customFormat="false" ht="15" hidden="false" customHeight="false" outlineLevel="0" collapsed="false">
      <c r="A15" s="13" t="s">
        <v>328</v>
      </c>
      <c r="B15" s="9"/>
      <c r="C15" s="14" t="n">
        <f aca="false">C14+B15</f>
        <v>0</v>
      </c>
      <c r="D15" s="9"/>
      <c r="E15" s="9"/>
      <c r="F15" s="9"/>
      <c r="G15" s="15" t="str">
        <f aca="false">IF(OR(D15="",D15=0),"-",F15/D15)</f>
        <v>-</v>
      </c>
      <c r="H15" s="9"/>
      <c r="I15" s="14" t="n">
        <f aca="false">I14+H15</f>
        <v>0</v>
      </c>
      <c r="J15" s="15" t="str">
        <f aca="false">IF(OR(D15="",D15=0),"-",E15/D15)</f>
        <v>-</v>
      </c>
      <c r="K15" s="16"/>
    </row>
    <row r="16" customFormat="false" ht="15" hidden="false" customHeight="false" outlineLevel="0" collapsed="false">
      <c r="A16" s="17" t="s">
        <v>329</v>
      </c>
      <c r="B16" s="17" t="n">
        <f aca="false">SUM(B4:B15)</f>
        <v>0</v>
      </c>
      <c r="C16" s="18"/>
      <c r="D16" s="17" t="n">
        <f aca="false">SUM(D4:D15)</f>
        <v>0</v>
      </c>
      <c r="E16" s="17" t="n">
        <f aca="false">SUM(E4:E15)</f>
        <v>0</v>
      </c>
      <c r="F16" s="17" t="n">
        <f aca="false">SUM(F4:F15)</f>
        <v>0</v>
      </c>
      <c r="G16" s="19" t="str">
        <f aca="false">IF(D16=0,"-",F16/D16)</f>
        <v>-</v>
      </c>
      <c r="H16" s="17" t="n">
        <f aca="false">SUM(H4:H15)</f>
        <v>0</v>
      </c>
      <c r="I16" s="18"/>
      <c r="J16" s="18"/>
      <c r="K16" s="18"/>
    </row>
    <row r="18" customFormat="false" ht="15" hidden="false" customHeight="false" outlineLevel="0" collapsed="false">
      <c r="A18" s="20" t="s">
        <v>330</v>
      </c>
      <c r="B18" s="21"/>
      <c r="C18" s="21"/>
      <c r="D18" s="21"/>
      <c r="E18" s="21"/>
      <c r="F18" s="21"/>
      <c r="G18" s="21"/>
      <c r="H18" s="21"/>
    </row>
    <row r="19" customFormat="false" ht="15" hidden="false" customHeight="true" outlineLevel="0" collapsed="false">
      <c r="A19" s="22" t="s">
        <v>331</v>
      </c>
      <c r="B19" s="21" t="s">
        <v>332</v>
      </c>
      <c r="C19" s="21"/>
      <c r="D19" s="21"/>
      <c r="E19" s="21"/>
      <c r="F19" s="21"/>
      <c r="G19" s="21"/>
      <c r="H19" s="21"/>
    </row>
    <row r="20" customFormat="false" ht="15" hidden="false" customHeight="true" outlineLevel="0" collapsed="false">
      <c r="A20" s="22" t="s">
        <v>333</v>
      </c>
      <c r="B20" s="21" t="s">
        <v>334</v>
      </c>
      <c r="C20" s="21"/>
      <c r="D20" s="21"/>
      <c r="E20" s="21"/>
      <c r="F20" s="21"/>
      <c r="G20" s="21"/>
      <c r="H20" s="21"/>
    </row>
    <row r="21" customFormat="false" ht="15" hidden="false" customHeight="true" outlineLevel="0" collapsed="false">
      <c r="A21" s="22" t="s">
        <v>335</v>
      </c>
      <c r="B21" s="21" t="s">
        <v>336</v>
      </c>
      <c r="C21" s="21"/>
      <c r="D21" s="21"/>
      <c r="E21" s="21"/>
      <c r="F21" s="21"/>
      <c r="G21" s="21"/>
      <c r="H21" s="21"/>
    </row>
    <row r="22" customFormat="false" ht="15" hidden="false" customHeight="true" outlineLevel="0" collapsed="false">
      <c r="A22" s="22" t="s">
        <v>337</v>
      </c>
      <c r="B22" s="21" t="s">
        <v>338</v>
      </c>
      <c r="C22" s="21"/>
      <c r="D22" s="21"/>
      <c r="E22" s="21"/>
      <c r="F22" s="21"/>
      <c r="G22" s="21"/>
      <c r="H22" s="21"/>
    </row>
    <row r="23" customFormat="false" ht="15" hidden="false" customHeight="true" outlineLevel="0" collapsed="false">
      <c r="A23" s="22" t="s">
        <v>339</v>
      </c>
      <c r="B23" s="21" t="s">
        <v>340</v>
      </c>
      <c r="C23" s="21"/>
      <c r="D23" s="21"/>
      <c r="E23" s="21"/>
      <c r="F23" s="21"/>
      <c r="G23" s="21"/>
      <c r="H23" s="21"/>
    </row>
  </sheetData>
  <mergeCells count="6">
    <mergeCell ref="B18:H18"/>
    <mergeCell ref="B19:H19"/>
    <mergeCell ref="B20:H20"/>
    <mergeCell ref="B21:H21"/>
    <mergeCell ref="B22:H22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341</v>
      </c>
    </row>
    <row r="2" customFormat="false" ht="15" hidden="false" customHeight="false" outlineLevel="0" collapsed="false">
      <c r="A2" s="2" t="s">
        <v>342</v>
      </c>
      <c r="B2" s="2" t="s">
        <v>343</v>
      </c>
      <c r="C2" s="2" t="s">
        <v>344</v>
      </c>
      <c r="D2" s="2" t="s">
        <v>144</v>
      </c>
      <c r="E2" s="2" t="s">
        <v>345</v>
      </c>
    </row>
    <row r="3" customFormat="false" ht="15" hidden="false" customHeight="false" outlineLevel="0" collapsed="false">
      <c r="A3" s="5" t="s">
        <v>346</v>
      </c>
      <c r="B3" s="5" t="s">
        <v>347</v>
      </c>
      <c r="C3" s="5" t="s">
        <v>348</v>
      </c>
      <c r="D3" s="5" t="s">
        <v>46</v>
      </c>
      <c r="E3" s="5" t="s">
        <v>349</v>
      </c>
    </row>
    <row r="4" customFormat="false" ht="23.85" hidden="false" customHeight="false" outlineLevel="0" collapsed="false">
      <c r="A4" s="4" t="s">
        <v>350</v>
      </c>
      <c r="B4" s="4" t="s">
        <v>351</v>
      </c>
      <c r="C4" s="4" t="s">
        <v>352</v>
      </c>
      <c r="D4" s="4" t="s">
        <v>169</v>
      </c>
      <c r="E4" s="4" t="s">
        <v>353</v>
      </c>
    </row>
    <row r="5" customFormat="false" ht="23.85" hidden="false" customHeight="false" outlineLevel="0" collapsed="false">
      <c r="A5" s="5" t="s">
        <v>354</v>
      </c>
      <c r="B5" s="5" t="s">
        <v>355</v>
      </c>
      <c r="C5" s="5" t="s">
        <v>356</v>
      </c>
      <c r="D5" s="5" t="s">
        <v>169</v>
      </c>
      <c r="E5" s="5" t="s">
        <v>357</v>
      </c>
    </row>
    <row r="6" customFormat="false" ht="23.85" hidden="false" customHeight="false" outlineLevel="0" collapsed="false">
      <c r="A6" s="4" t="s">
        <v>358</v>
      </c>
      <c r="B6" s="4" t="s">
        <v>359</v>
      </c>
      <c r="C6" s="4" t="s">
        <v>360</v>
      </c>
      <c r="D6" s="4" t="s">
        <v>169</v>
      </c>
      <c r="E6" s="4" t="s">
        <v>361</v>
      </c>
    </row>
    <row r="7" customFormat="false" ht="23.85" hidden="false" customHeight="false" outlineLevel="0" collapsed="false">
      <c r="A7" s="5" t="s">
        <v>362</v>
      </c>
      <c r="B7" s="5" t="s">
        <v>363</v>
      </c>
      <c r="C7" s="5" t="s">
        <v>364</v>
      </c>
      <c r="D7" s="5" t="s">
        <v>365</v>
      </c>
      <c r="E7" s="5" t="s">
        <v>366</v>
      </c>
    </row>
    <row r="8" customFormat="false" ht="15" hidden="false" customHeight="false" outlineLevel="0" collapsed="false">
      <c r="A8" s="4" t="s">
        <v>367</v>
      </c>
      <c r="B8" s="4" t="s">
        <v>347</v>
      </c>
      <c r="C8" s="4" t="s">
        <v>368</v>
      </c>
      <c r="D8" s="4" t="s">
        <v>201</v>
      </c>
      <c r="E8" s="4" t="s">
        <v>369</v>
      </c>
    </row>
    <row r="9" customFormat="false" ht="15" hidden="false" customHeight="false" outlineLevel="0" collapsed="false">
      <c r="A9" s="5" t="s">
        <v>370</v>
      </c>
      <c r="B9" s="5" t="s">
        <v>371</v>
      </c>
      <c r="C9" s="5" t="s">
        <v>372</v>
      </c>
      <c r="D9" s="5" t="s">
        <v>322</v>
      </c>
      <c r="E9" s="5" t="s">
        <v>373</v>
      </c>
    </row>
    <row r="10" customFormat="false" ht="23.85" hidden="false" customHeight="false" outlineLevel="0" collapsed="false">
      <c r="A10" s="3" t="s">
        <v>374</v>
      </c>
      <c r="B10" s="3" t="s">
        <v>375</v>
      </c>
      <c r="C10" s="3" t="s">
        <v>376</v>
      </c>
      <c r="D10" s="3" t="s">
        <v>89</v>
      </c>
      <c r="E10" s="3" t="s">
        <v>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2026-06-10T11:58:45Z</dcterms:created>
  <dc:creator>openpyxl</dc:creator>
  <dc:description/>
  <dc:language>en-US</dc:language>
  <cp:lastModifiedBy/>
  <dcterms:modified xsi:type="dcterms:W3CDTF">2026-06-10T11:58:45Z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